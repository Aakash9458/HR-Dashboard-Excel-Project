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c3b9f9627cb78177/Desktop/"/>
    </mc:Choice>
  </mc:AlternateContent>
  <xr:revisionPtr revIDLastSave="1" documentId="8_{F69ADDAF-F1E9-4E86-8BB3-3E23F5CE5AD8}" xr6:coauthVersionLast="47" xr6:coauthVersionMax="47" xr10:uidLastSave="{C3B2C9AE-3165-486D-917C-9F6F2238BA56}"/>
  <bookViews>
    <workbookView xWindow="-108" yWindow="-108" windowWidth="23256" windowHeight="12456" activeTab="2" xr2:uid="{408BA6AB-5196-496B-9C80-B057CC378CDA}"/>
  </bookViews>
  <sheets>
    <sheet name="Data" sheetId="1" r:id="rId1"/>
    <sheet name="pivot table" sheetId="2" r:id="rId2"/>
    <sheet name="Dashboard" sheetId="3" r:id="rId3"/>
  </sheets>
  <definedNames>
    <definedName name="Slicer_Department">#N/A</definedName>
    <definedName name="Slicer_Gender">#N/A</definedName>
  </definedNames>
  <calcPr calcId="191029"/>
  <pivotCaches>
    <pivotCache cacheId="4"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16" i="2" l="1"/>
  <c r="AN15" i="2"/>
  <c r="AN14" i="2"/>
  <c r="AN13" i="2"/>
  <c r="AN12" i="2"/>
  <c r="X15" i="2"/>
  <c r="F13" i="2"/>
  <c r="M9" i="2"/>
  <c r="B9" i="2"/>
  <c r="H12" i="2"/>
  <c r="F12" i="2"/>
  <c r="H13" i="2"/>
  <c r="B10" i="2"/>
  <c r="E13" i="2"/>
  <c r="F11" i="2"/>
  <c r="E14" i="2"/>
  <c r="X14" i="2"/>
  <c r="AG16" i="2"/>
  <c r="H14" i="2"/>
  <c r="AG12" i="2"/>
  <c r="E11" i="2"/>
  <c r="M8" i="2"/>
  <c r="M10" i="2"/>
  <c r="AG13" i="2"/>
  <c r="H20" i="2"/>
  <c r="X16" i="2"/>
  <c r="H15" i="2"/>
  <c r="F14" i="2"/>
  <c r="X12" i="2"/>
  <c r="B11" i="2"/>
  <c r="F10" i="2"/>
  <c r="H19" i="2"/>
  <c r="H16" i="2"/>
  <c r="AG14" i="2"/>
  <c r="X13" i="2"/>
  <c r="E12" i="2"/>
  <c r="E10" i="2"/>
  <c r="AG15" i="2"/>
  <c r="AN17" i="2" l="1"/>
  <c r="E15" i="2"/>
  <c r="H21" i="2"/>
  <c r="I19" i="2"/>
  <c r="J19" i="2" s="1"/>
  <c r="F15" i="2"/>
  <c r="X17" i="2"/>
  <c r="I20" i="2"/>
  <c r="J20" i="2" s="1"/>
  <c r="L16" i="2"/>
  <c r="M16" i="2" s="1"/>
  <c r="M11" i="2"/>
  <c r="L14" i="2"/>
  <c r="M14" i="2" s="1"/>
  <c r="AG17" i="2"/>
  <c r="H17" i="2"/>
  <c r="B12" i="2"/>
  <c r="L15" i="2"/>
  <c r="M15" i="2" s="1"/>
</calcChain>
</file>

<file path=xl/sharedStrings.xml><?xml version="1.0" encoding="utf-8"?>
<sst xmlns="http://schemas.openxmlformats.org/spreadsheetml/2006/main" count="891" uniqueCount="230">
  <si>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</si>
  <si>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</si>
  <si>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</si>
  <si>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</si>
  <si>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</si>
  <si>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</si>
  <si>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</si>
  <si>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</si>
  <si>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</si>
  <si>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</si>
  <si>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</si>
  <si>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</si>
  <si>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</si>
  <si>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</si>
  <si>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</si>
  <si>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</si>
  <si>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</si>
  <si>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</si>
  <si>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</si>
  <si>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</si>
  <si>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</si>
  <si>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</si>
  <si>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</si>
  <si>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</si>
  <si>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</si>
  <si>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</si>
  <si>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</si>
  <si>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</si>
  <si>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</si>
  <si>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</si>
  <si>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</si>
  <si>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</si>
  <si>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</si>
  <si>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</si>
  <si>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</si>
  <si>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</si>
  <si>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</si>
  <si>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</si>
  <si>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</si>
  <si>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</si>
  <si>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</si>
  <si>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</si>
  <si>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</si>
  <si>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</si>
  <si>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</si>
  <si>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</si>
  <si>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</si>
  <si>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</si>
  <si>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</si>
  <si>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</si>
  <si>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</si>
  <si>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</si>
  <si>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</si>
  <si>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</si>
  <si>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</si>
  <si>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</si>
  <si>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</si>
  <si>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</si>
  <si>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</si>
  <si>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</si>
  <si>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</si>
  <si>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</si>
  <si>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</si>
  <si>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</si>
  <si>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</si>
  <si>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</si>
  <si>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</si>
  <si>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</si>
  <si>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</si>
  <si>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</si>
  <si>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</si>
  <si>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</si>
  <si>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</si>
  <si>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</si>
  <si>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</si>
  <si>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</si>
  <si>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</si>
  <si>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</si>
  <si>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</si>
  <si>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</si>
  <si>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</si>
  <si>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</si>
  <si>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</si>
  <si>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</si>
  <si>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</si>
  <si>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</si>
  <si>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</si>
  <si>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</si>
  <si>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</si>
  <si>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</si>
  <si>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</si>
  <si>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</si>
  <si>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</si>
  <si>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</si>
  <si>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</si>
  <si>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</si>
  <si>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</si>
  <si>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</si>
  <si>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</si>
  <si>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</si>
  <si>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</si>
  <si>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</si>
  <si>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</si>
  <si>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</si>
  <si>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</si>
  <si>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</si>
  <si>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</si>
  <si>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</si>
  <si>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</si>
  <si>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</si>
  <si>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</si>
  <si>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</si>
  <si>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</si>
  <si>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</si>
  <si>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</si>
  <si>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</si>
  <si>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</si>
  <si>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</si>
  <si>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</si>
  <si>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</si>
  <si>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</si>
  <si>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</si>
  <si>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</si>
  <si>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</si>
  <si>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</si>
  <si>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</si>
  <si>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</si>
  <si>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</si>
  <si>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</si>
  <si>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</si>
  <si>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</si>
  <si>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</si>
  <si>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</si>
  <si>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</si>
  <si>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</si>
  <si>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</si>
  <si>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</si>
  <si>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</si>
  <si>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</si>
  <si>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</si>
  <si>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</si>
  <si>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</si>
  <si>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</si>
  <si>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</si>
  <si>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</si>
  <si>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</si>
  <si>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</si>
  <si>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</si>
  <si>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</si>
  <si>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</si>
  <si>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</si>
  <si>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</si>
  <si>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</si>
  <si>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</si>
  <si>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</si>
  <si>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</si>
  <si>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</si>
  <si>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</si>
  <si>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</si>
  <si>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</si>
  <si>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</si>
  <si>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</si>
  <si>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</si>
  <si>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</si>
  <si>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</si>
  <si>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</si>
  <si>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</si>
  <si>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</si>
  <si>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</si>
  <si>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</si>
  <si>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</si>
  <si>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</si>
  <si>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</si>
  <si>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</si>
  <si>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</si>
  <si>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</si>
  <si>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</si>
  <si>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</si>
  <si>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</si>
  <si>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</si>
  <si>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</si>
  <si>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</si>
  <si>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</si>
  <si>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</si>
  <si>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</si>
  <si>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</si>
  <si>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</si>
  <si>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</si>
  <si>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</si>
  <si>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</si>
  <si>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</si>
  <si>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</si>
  <si>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</si>
  <si>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</si>
  <si>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</si>
  <si>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</si>
  <si>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</si>
  <si>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</si>
  <si>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</si>
  <si>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</si>
  <si>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</si>
  <si>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</si>
  <si>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</si>
  <si>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</si>
  <si>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</si>
  <si>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</si>
  <si>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</si>
  <si>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</si>
  <si>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</si>
  <si>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</si>
  <si>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</si>
  <si>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</si>
  <si>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</si>
  <si>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</si>
  <si>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</si>
  <si>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</si>
  <si>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</si>
  <si>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No of employees to employees status</t>
  </si>
  <si>
    <t>total</t>
  </si>
  <si>
    <t>Total</t>
  </si>
  <si>
    <t>Sum of Salary</t>
  </si>
  <si>
    <t>salaries to departments</t>
  </si>
  <si>
    <t>Column Labels</t>
  </si>
  <si>
    <t>Age range to gender</t>
  </si>
  <si>
    <t>Work Place</t>
  </si>
  <si>
    <t>Sum of Leave Taken</t>
  </si>
  <si>
    <t>a1</t>
  </si>
  <si>
    <t>---</t>
  </si>
  <si>
    <t>Regions</t>
  </si>
  <si>
    <t>Sum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</si>
</sst>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6" x14ac:knownFonts="1">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b/>
      <sz val="11"/>
      <color theme="0"/>
      <name val="Kulim Park"/>
    </font>
  </fonts>
  <fills count="3">
    <fill>
      <patternFill patternType="none"/>
    </fill>
    <fill>
      <patternFill patternType="gray125"/>
    </fill>
    <fill>
      <patternFill patternType="solid">
        <fgColor rgb="FF282828"/>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9">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2" fillId="0" borderId="0" xfId="0" applyFont="1"/>
    <xf numFmtId="0" fontId="2" fillId="2" borderId="0" xfId="0" applyFont="1" applyFill="1"/>
    <xf numFmtId="0" fontId="0" fillId="0" borderId="0" xfId="0" pivotButton="1"/>
    <xf numFmtId="0" fontId="0" fillId="0" borderId="0" xfId="0" applyAlignment="1">
      <alignment horizontal="left"/>
    </xf>
    <xf numFmtId="0" fontId="2" fillId="0" borderId="0" xfId="0" pivotButton="1" applyFont="1"/>
    <xf numFmtId="0" fontId="2" fillId="0" borderId="0" xfId="0" applyFont="1" applyAlignment="1">
      <alignment horizontal="left"/>
    </xf>
    <xf numFmtId="164" fontId="2" fillId="0" borderId="0" xfId="0" applyNumberFormat="1" applyFont="1"/>
    <xf numFmtId="164" fontId="2" fillId="0" borderId="0" xfId="1" applyNumberFormat="1" applyFont="1"/>
    <xf numFmtId="9" fontId="4" fillId="0" borderId="0" xfId="2" applyFont="1"/>
    <xf numFmtId="9" fontId="2" fillId="0" borderId="0" xfId="2" applyFont="1"/>
    <xf numFmtId="9" fontId="2" fillId="0" borderId="0" xfId="0" applyNumberFormat="1" applyFont="1"/>
    <xf numFmtId="0" fontId="2" fillId="0" borderId="0" xfId="0" applyFont="1" applyAlignment="1">
      <alignment horizontal="center"/>
    </xf>
    <xf numFmtId="0" fontId="5" fillId="2" borderId="0" xfId="0" applyFont="1" applyFill="1" applyAlignment="1">
      <alignment horizontal="center"/>
    </xf>
    <xf numFmtId="0" fontId="0" fillId="0" borderId="0" xfId="0" applyNumberFormat="1"/>
    <xf numFmtId="0" fontId="2" fillId="0" borderId="0" xfId="0" applyNumberFormat="1" applyFont="1"/>
  </cellXfs>
  <cellStyles count="3">
    <cellStyle name="Comma" xfId="1" builtinId="3"/>
    <cellStyle name="Normal" xfId="0" builtinId="0"/>
    <cellStyle name="Percent" xfId="2" builtinId="5"/>
  </cellStyles>
  <dxfs count="466">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emiBold"/>
        <scheme val="none"/>
      </font>
      <fill>
        <patternFill>
          <fgColor rgb="FF1F1F1F"/>
          <bgColor rgb="FF1F1F1F"/>
        </patternFill>
      </fill>
    </dxf>
    <dxf>
      <numFmt numFmtId="164" formatCode="_(* #,##0_);_(* \(#,##0\);_(* &quot;-&quot;??_);_(@_)"/>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1" defaultTableStyle="TableStyleMedium2" defaultPivotStyle="PivotStyleLight16">
    <tableStyle name="Slicer Style 1" pivot="0" table="0" count="6" xr9:uid="{82F1DAFF-1F0E-45E5-9ED5-5261ACF5DF7C}">
      <tableStyleElement type="wholeTable" dxfId="429"/>
    </tableStyle>
  </tableStyles>
  <colors>
    <mruColors>
      <color rgb="FF282828"/>
      <color rgb="FFFFC000"/>
      <color rgb="FFFFFFFF"/>
      <color rgb="FFE5B244"/>
      <color rgb="FF1F1F1F"/>
      <color rgb="FF77933C"/>
      <color rgb="FF948A54"/>
    </mruColors>
  </colors>
  <extLst>
    <ext xmlns:x14="http://schemas.microsoft.com/office/spreadsheetml/2009/9/main" uri="{46F421CA-312F-682f-3DD2-61675219B42D}">
      <x14:dxfs count="36">
        <dxf>
          <font>
            <b val="0"/>
            <i val="0"/>
            <sz val="10"/>
            <color rgb="FF282828"/>
            <name val="Kulim Park SemiBold"/>
            <scheme val="none"/>
          </font>
          <fill>
            <patternFill>
              <fgColor rgb="FFE5B244"/>
              <bgColor rgb="FFE5B244"/>
            </patternFill>
          </fill>
        </dxf>
        <dxf>
          <font>
            <color rgb="FFFFC000"/>
            <name val="Kulim Park SemiBold"/>
            <scheme val="none"/>
          </font>
          <fill>
            <patternFill>
              <bgColor rgb="FF282828"/>
            </patternFill>
          </fill>
        </dxf>
        <dxf>
          <font>
            <color rgb="FFFFC000"/>
            <name val="Kulim Park SemiBold"/>
            <scheme val="none"/>
          </font>
          <fill>
            <patternFill>
              <fgColor rgb="FFFFC000"/>
              <bgColor rgb="FF282828"/>
            </patternFill>
          </fill>
        </dxf>
        <dxf>
          <font>
            <b val="0"/>
            <i val="0"/>
            <sz val="10"/>
            <color rgb="FF1F1F1F"/>
            <name val="Kulim Park SemiBold"/>
            <scheme val="none"/>
          </font>
          <fill>
            <patternFill>
              <fgColor rgb="FFFFC000"/>
              <bgColor rgb="FFE5B244"/>
            </patternFill>
          </fill>
        </dxf>
        <dxf>
          <font>
            <color rgb="FFFFC000"/>
            <name val="Kulim Park SemiBold"/>
            <scheme val="none"/>
          </font>
          <fill>
            <patternFill>
              <fgColor rgb="FFFFC000"/>
              <bgColor rgb="FF282828"/>
            </patternFill>
          </fill>
        </dxf>
        <dxf>
          <font>
            <b val="0"/>
            <i val="0"/>
            <sz val="10"/>
            <color rgb="FF282828"/>
            <name val="Kulim Park SemiBold"/>
            <scheme val="none"/>
          </font>
          <fill>
            <patternFill>
              <fgColor rgb="FFE5B244"/>
              <bgColor rgb="FFE5B244"/>
            </patternFill>
          </fill>
        </dxf>
        <dxf>
          <font>
            <color rgb="FFFFC000"/>
            <name val="Kulim Park SemiBold"/>
            <scheme val="none"/>
          </font>
          <fill>
            <patternFill>
              <bgColor rgb="FF282828"/>
            </patternFill>
          </fill>
        </dxf>
        <dxf>
          <font>
            <color rgb="FFFFC000"/>
            <name val="Kulim Park SemiBold"/>
            <scheme val="none"/>
          </font>
          <fill>
            <patternFill>
              <fgColor rgb="FFFFC000"/>
              <bgColor rgb="FF282828"/>
            </patternFill>
          </fill>
        </dxf>
        <dxf>
          <font>
            <b val="0"/>
            <i val="0"/>
            <sz val="10"/>
            <color rgb="FF1F1F1F"/>
            <name val="Kulim Park SemiBold"/>
            <scheme val="none"/>
          </font>
          <fill>
            <patternFill>
              <fgColor rgb="FFFFC000"/>
              <bgColor rgb="FFE5B244"/>
            </patternFill>
          </fill>
        </dxf>
        <dxf>
          <font>
            <color rgb="FFFFC000"/>
            <name val="Kulim Park SemiBold"/>
            <scheme val="none"/>
          </font>
          <fill>
            <patternFill>
              <fgColor rgb="FFFFC000"/>
              <bgColor rgb="FFFFC000"/>
            </patternFill>
          </fill>
        </dxf>
        <dxf>
          <font>
            <b val="0"/>
            <i val="0"/>
            <sz val="10"/>
            <color rgb="FF282828"/>
            <name val="Kulim Park SemiBold"/>
            <scheme val="none"/>
          </font>
          <fill>
            <patternFill>
              <fgColor rgb="FFE5B244"/>
              <bgColor rgb="FFE5B244"/>
            </patternFill>
          </fill>
        </dxf>
        <dxf>
          <font>
            <color rgb="FFFFC000"/>
            <name val="Kulim Park SemiBold"/>
            <scheme val="none"/>
          </font>
          <fill>
            <patternFill>
              <bgColor rgb="FF282828"/>
            </patternFill>
          </fill>
        </dxf>
        <dxf>
          <font>
            <color rgb="FFFFC000"/>
            <name val="Kulim Park SemiBold"/>
            <scheme val="none"/>
          </font>
          <fill>
            <patternFill>
              <fgColor rgb="FFFFC000"/>
              <bgColor rgb="FF282828"/>
            </patternFill>
          </fill>
        </dxf>
        <dxf>
          <font>
            <b val="0"/>
            <i val="0"/>
            <sz val="10"/>
            <color rgb="FF1F1F1F"/>
            <name val="Kulim Park SemiBold"/>
            <scheme val="none"/>
          </font>
          <fill>
            <patternFill>
              <fgColor rgb="FFFFC000"/>
              <bgColor rgb="FFE5B244"/>
            </patternFill>
          </fill>
        </dxf>
        <dxf>
          <font>
            <color rgb="FFFFC000"/>
            <name val="Kulim Park SemiBold"/>
            <scheme val="none"/>
          </font>
          <fill>
            <patternFill>
              <fgColor rgb="FFFFC000"/>
              <bgColor rgb="FFFFC000"/>
            </patternFill>
          </fill>
        </dxf>
        <dxf>
          <font>
            <b val="0"/>
            <i val="0"/>
            <sz val="10"/>
            <color rgb="FF282828"/>
            <name val="Kulim Park SemiBold"/>
            <scheme val="none"/>
          </font>
          <fill>
            <patternFill>
              <fgColor rgb="FFE5B244"/>
              <bgColor rgb="FFE5B244"/>
            </patternFill>
          </fill>
        </dxf>
        <dxf>
          <font>
            <color rgb="FFFFC000"/>
            <name val="Kulim Park SemiBold"/>
            <scheme val="none"/>
          </font>
          <fill>
            <patternFill>
              <bgColor rgb="FF282828"/>
            </patternFill>
          </fill>
        </dxf>
        <dxf>
          <font>
            <color rgb="FFFFC000"/>
            <name val="Kulim Park SemiBold"/>
            <scheme val="none"/>
          </font>
          <fill>
            <patternFill>
              <fgColor rgb="FFFFC000"/>
              <bgColor rgb="FF282828"/>
            </patternFill>
          </fill>
        </dxf>
        <dxf>
          <font>
            <b val="0"/>
            <i val="0"/>
            <sz val="10"/>
            <color rgb="FF1F1F1F"/>
            <name val="Kulim Park SemiBold"/>
            <scheme val="none"/>
          </font>
          <fill>
            <patternFill>
              <fgColor rgb="FFFFC000"/>
              <bgColor rgb="FFE5B244"/>
            </patternFill>
          </fill>
        </dxf>
        <dxf>
          <font>
            <color rgb="FFFFC000"/>
            <name val="Kulim Park SemiBold"/>
            <scheme val="none"/>
          </font>
          <fill>
            <patternFill>
              <fgColor rgb="FFFFC000"/>
              <bgColor rgb="FFFFFFFF"/>
            </patternFill>
          </fill>
        </dxf>
        <dxf>
          <font>
            <color rgb="FFFFC000"/>
            <name val="Kulim Park SemiBold"/>
            <scheme val="none"/>
          </font>
          <fill>
            <patternFill>
              <fgColor rgb="FFFFC000"/>
              <bgColor rgb="FF282828"/>
            </patternFill>
          </fill>
        </dxf>
        <dxf>
          <font>
            <b val="0"/>
            <i val="0"/>
            <sz val="10"/>
            <color rgb="FF282828"/>
            <name val="Kulim Park SemiBold"/>
            <scheme val="none"/>
          </font>
          <fill>
            <patternFill>
              <fgColor rgb="FFE5B244"/>
              <bgColor rgb="FFE5B244"/>
            </patternFill>
          </fill>
        </dxf>
        <dxf>
          <font>
            <color rgb="FFFFC000"/>
            <name val="Kulim Park SemiBold"/>
            <scheme val="none"/>
          </font>
          <fill>
            <patternFill>
              <bgColor rgb="FF282828"/>
            </patternFill>
          </fill>
        </dxf>
        <dxf>
          <font>
            <color rgb="FFFFC000"/>
            <name val="Kulim Park SemiBold"/>
            <scheme val="none"/>
          </font>
          <fill>
            <patternFill>
              <fgColor rgb="FFFFC000"/>
              <bgColor rgb="FF282828"/>
            </patternFill>
          </fill>
        </dxf>
        <dxf>
          <font>
            <b val="0"/>
            <i val="0"/>
            <sz val="10"/>
            <color rgb="FF1F1F1F"/>
            <name val="Kulim Park SemiBold"/>
            <scheme val="none"/>
          </font>
          <fill>
            <patternFill>
              <fgColor rgb="FFFFC000"/>
              <bgColor rgb="FFE5B244"/>
            </patternFill>
          </fill>
        </dxf>
        <dxf>
          <font>
            <b val="0"/>
            <i val="0"/>
            <sz val="10"/>
            <color rgb="FF282828"/>
            <name val="Kulim Park SemiBold"/>
            <scheme val="none"/>
          </font>
          <fill>
            <patternFill>
              <fgColor rgb="FFE5B244"/>
              <bgColor rgb="FFE5B244"/>
            </patternFill>
          </fill>
        </dxf>
        <dxf>
          <font>
            <color rgb="FFFFC000"/>
            <name val="Kulim Park SemiBold"/>
            <scheme val="none"/>
          </font>
          <fill>
            <patternFill>
              <bgColor rgb="FF282828"/>
            </patternFill>
          </fill>
        </dxf>
        <dxf>
          <font>
            <color rgb="FFFFC000"/>
            <name val="Kulim Park SemiBold"/>
            <scheme val="none"/>
          </font>
          <fill>
            <patternFill>
              <fgColor rgb="FFFFC000"/>
              <bgColor rgb="FF282828"/>
            </patternFill>
          </fill>
        </dxf>
        <dxf>
          <font>
            <b val="0"/>
            <i val="0"/>
            <sz val="10"/>
            <color rgb="FF1F1F1F"/>
            <name val="Kulim Park SemiBold"/>
            <scheme val="none"/>
          </font>
          <fill>
            <patternFill>
              <fgColor rgb="FFFFC000"/>
              <bgColor rgb="FFE5B244"/>
            </patternFill>
          </fill>
        </dxf>
        <dxf>
          <font>
            <color rgb="FFFFC000"/>
            <name val="Kulim Park SemiBold"/>
            <scheme val="none"/>
          </font>
          <fill>
            <patternFill>
              <fgColor rgb="FFFFC000"/>
            </patternFill>
          </fill>
        </dxf>
        <dxf>
          <font>
            <b val="0"/>
            <i val="0"/>
            <sz val="10"/>
            <color rgb="FF282828"/>
            <name val="Kulim Park SemiBold"/>
            <scheme val="none"/>
          </font>
          <fill>
            <patternFill>
              <fgColor rgb="FFE5B244"/>
              <bgColor rgb="FFE5B244"/>
            </patternFill>
          </fill>
        </dxf>
        <dxf>
          <font>
            <color rgb="FFFFC000"/>
            <name val="Kulim Park SemiBold"/>
            <scheme val="none"/>
          </font>
          <fill>
            <patternFill>
              <bgColor rgb="FF282828"/>
            </patternFill>
          </fill>
        </dxf>
        <dxf>
          <font>
            <b val="0"/>
            <i val="0"/>
            <sz val="10"/>
            <color rgb="FF1F1F1F"/>
            <name val="Kulim Park SemiBold"/>
            <scheme val="none"/>
          </font>
          <fill>
            <patternFill>
              <fgColor rgb="FFFFC000"/>
              <bgColor rgb="FFE5B244"/>
            </patternFill>
          </fill>
        </dxf>
        <dxf>
          <font>
            <color rgb="FFFFC000"/>
            <name val="Kulim Park SemiBold"/>
            <scheme val="none"/>
          </font>
          <fill>
            <patternFill>
              <bgColor rgb="FF282828"/>
            </patternFill>
          </fill>
        </dxf>
        <dxf>
          <font>
            <b val="0"/>
            <i val="0"/>
            <sz val="10"/>
            <color rgb="FF282828"/>
            <name val="Kulim Park SemiBold"/>
            <scheme val="none"/>
          </font>
          <fill>
            <patternFill>
              <fgColor rgb="FFE5B244"/>
              <bgColor rgb="FFE5B244"/>
            </patternFill>
          </fill>
        </dxf>
        <dxf>
          <font>
            <b val="0"/>
            <i val="0"/>
            <sz val="10"/>
            <color rgb="FF1F1F1F"/>
            <name val="Kulim Park SemiBold"/>
            <scheme val="none"/>
          </font>
          <fill>
            <patternFill>
              <fgColor rgb="FFFFC000"/>
              <bgColor rgb="FFE5B24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solidFill>
            </a:ln>
          </c:spPr>
          <c:dPt>
            <c:idx val="0"/>
            <c:bubble3D val="0"/>
            <c:spPr>
              <a:solidFill>
                <a:srgbClr val="FFC000"/>
              </a:solidFill>
              <a:ln w="19050">
                <a:solidFill>
                  <a:srgbClr val="282828"/>
                </a:solidFill>
              </a:ln>
              <a:effectLst/>
            </c:spPr>
            <c:extLst>
              <c:ext xmlns:c16="http://schemas.microsoft.com/office/drawing/2014/chart" uri="{C3380CC4-5D6E-409C-BE32-E72D297353CC}">
                <c16:uniqueId val="{00000001-C003-4EFE-BB12-1E15A2336EE9}"/>
              </c:ext>
            </c:extLst>
          </c:dPt>
          <c:dPt>
            <c:idx val="1"/>
            <c:bubble3D val="0"/>
            <c:spPr>
              <a:solidFill>
                <a:schemeClr val="bg2">
                  <a:lumMod val="25000"/>
                </a:schemeClr>
              </a:solidFill>
              <a:ln w="19050">
                <a:solidFill>
                  <a:srgbClr val="1F1F1F"/>
                </a:solidFill>
              </a:ln>
              <a:effectLst/>
            </c:spPr>
            <c:extLst>
              <c:ext xmlns:c16="http://schemas.microsoft.com/office/drawing/2014/chart" uri="{C3380CC4-5D6E-409C-BE32-E72D297353CC}">
                <c16:uniqueId val="{00000003-C003-4EFE-BB12-1E15A2336EE9}"/>
              </c:ext>
            </c:extLst>
          </c:dPt>
          <c:dPt>
            <c:idx val="2"/>
            <c:bubble3D val="0"/>
            <c:spPr>
              <a:solidFill>
                <a:schemeClr val="bg2">
                  <a:lumMod val="75000"/>
                </a:schemeClr>
              </a:solidFill>
              <a:ln w="19050">
                <a:solidFill>
                  <a:srgbClr val="1F1F1F"/>
                </a:solidFill>
              </a:ln>
              <a:effectLst/>
            </c:spPr>
            <c:extLst>
              <c:ext xmlns:c16="http://schemas.microsoft.com/office/drawing/2014/chart" uri="{C3380CC4-5D6E-409C-BE32-E72D297353CC}">
                <c16:uniqueId val="{00000005-C003-4EFE-BB12-1E15A2336EE9}"/>
              </c:ext>
            </c:extLst>
          </c:dPt>
          <c:cat>
            <c:strRef>
              <c:f>'pivot table'!$A$9:$A$11</c:f>
              <c:strCache>
                <c:ptCount val="3"/>
                <c:pt idx="0">
                  <c:v>Contract</c:v>
                </c:pt>
                <c:pt idx="1">
                  <c:v>Full-Time</c:v>
                </c:pt>
                <c:pt idx="2">
                  <c:v>Part-Time</c:v>
                </c:pt>
              </c:strCache>
            </c:strRef>
          </c:cat>
          <c:val>
            <c:numRef>
              <c:f>'pivot table'!$B$9:$B$11</c:f>
              <c:numCache>
                <c:formatCode>General</c:formatCode>
                <c:ptCount val="3"/>
                <c:pt idx="0">
                  <c:v>17</c:v>
                </c:pt>
                <c:pt idx="1">
                  <c:v>20</c:v>
                </c:pt>
                <c:pt idx="2">
                  <c:v>13</c:v>
                </c:pt>
              </c:numCache>
            </c:numRef>
          </c:val>
          <c:extLst>
            <c:ext xmlns:c16="http://schemas.microsoft.com/office/drawing/2014/chart" uri="{C3380CC4-5D6E-409C-BE32-E72D297353CC}">
              <c16:uniqueId val="{00000006-C003-4EFE-BB12-1E15A2336EE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Dashboard Project.xlsx]pivot table!Age range</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Kulim Park"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table'!$H$2:$H$3</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Kulim Park"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table'!$G$4:$G$9</c:f>
              <c:strCache>
                <c:ptCount val="5"/>
                <c:pt idx="0">
                  <c:v>18-25</c:v>
                </c:pt>
                <c:pt idx="1">
                  <c:v>26-35</c:v>
                </c:pt>
                <c:pt idx="2">
                  <c:v>36-45</c:v>
                </c:pt>
                <c:pt idx="3">
                  <c:v>46-55</c:v>
                </c:pt>
                <c:pt idx="4">
                  <c:v>56 &lt;</c:v>
                </c:pt>
              </c:strCache>
            </c:strRef>
          </c:cat>
          <c:val>
            <c:numRef>
              <c:f>'pivot table'!$H$4:$H$9</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102B-4D6F-9BD6-B209C86409A2}"/>
            </c:ext>
          </c:extLst>
        </c:ser>
        <c:ser>
          <c:idx val="1"/>
          <c:order val="1"/>
          <c:tx>
            <c:strRef>
              <c:f>'pivot table'!$I$2:$I$3</c:f>
              <c:strCache>
                <c:ptCount val="1"/>
                <c:pt idx="0">
                  <c:v>Male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table'!$G$4:$G$9</c:f>
              <c:strCache>
                <c:ptCount val="5"/>
                <c:pt idx="0">
                  <c:v>18-25</c:v>
                </c:pt>
                <c:pt idx="1">
                  <c:v>26-35</c:v>
                </c:pt>
                <c:pt idx="2">
                  <c:v>36-45</c:v>
                </c:pt>
                <c:pt idx="3">
                  <c:v>46-55</c:v>
                </c:pt>
                <c:pt idx="4">
                  <c:v>56 &lt;</c:v>
                </c:pt>
              </c:strCache>
            </c:strRef>
          </c:cat>
          <c:val>
            <c:numRef>
              <c:f>'pivot table'!$I$4:$I$9</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2-C1CA-4359-87AA-B5198C27E026}"/>
            </c:ext>
          </c:extLst>
        </c:ser>
        <c:dLbls>
          <c:dLblPos val="outEnd"/>
          <c:showLegendKey val="0"/>
          <c:showVal val="1"/>
          <c:showCatName val="0"/>
          <c:showSerName val="0"/>
          <c:showPercent val="0"/>
          <c:showBubbleSize val="0"/>
        </c:dLbls>
        <c:gapWidth val="219"/>
        <c:overlap val="-27"/>
        <c:axId val="60636320"/>
        <c:axId val="60622400"/>
      </c:barChart>
      <c:catAx>
        <c:axId val="6063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Kulim Park" pitchFamily="2" charset="0"/>
                <a:ea typeface="+mn-ea"/>
                <a:cs typeface="+mn-cs"/>
              </a:defRPr>
            </a:pPr>
            <a:endParaRPr lang="en-US"/>
          </a:p>
        </c:txPr>
        <c:crossAx val="60622400"/>
        <c:crosses val="autoZero"/>
        <c:auto val="1"/>
        <c:lblAlgn val="ctr"/>
        <c:lblOffset val="100"/>
        <c:noMultiLvlLbl val="0"/>
      </c:catAx>
      <c:valAx>
        <c:axId val="60622400"/>
        <c:scaling>
          <c:orientation val="minMax"/>
        </c:scaling>
        <c:delete val="1"/>
        <c:axPos val="l"/>
        <c:majorGridlines>
          <c:spPr>
            <a:ln w="9525" cap="flat" cmpd="sng" algn="ctr">
              <a:solidFill>
                <a:srgbClr val="E5B244">
                  <a:alpha val="33000"/>
                </a:srgbClr>
              </a:solidFill>
              <a:prstDash val="dashDot"/>
              <a:round/>
            </a:ln>
            <a:effectLst/>
          </c:spPr>
        </c:majorGridlines>
        <c:numFmt formatCode="General" sourceLinked="1"/>
        <c:majorTickMark val="none"/>
        <c:minorTickMark val="none"/>
        <c:tickLblPos val="nextTo"/>
        <c:crossAx val="6063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table'!$L$14</c:f>
              <c:numCache>
                <c:formatCode>0%</c:formatCode>
                <c:ptCount val="1"/>
                <c:pt idx="0">
                  <c:v>0.46</c:v>
                </c:pt>
              </c:numCache>
            </c:numRef>
          </c:val>
          <c:extLst>
            <c:ext xmlns:c16="http://schemas.microsoft.com/office/drawing/2014/chart" uri="{C3380CC4-5D6E-409C-BE32-E72D297353CC}">
              <c16:uniqueId val="{00000000-5FA4-4D34-A8DF-AC4E0E8E89C0}"/>
            </c:ext>
          </c:extLst>
        </c:ser>
        <c:ser>
          <c:idx val="1"/>
          <c:order val="1"/>
          <c:spPr>
            <a:solidFill>
              <a:srgbClr val="1F1F1F"/>
            </a:solidFill>
            <a:ln>
              <a:noFill/>
            </a:ln>
            <a:effectLst/>
          </c:spPr>
          <c:invertIfNegative val="0"/>
          <c:val>
            <c:numRef>
              <c:f>'pivot table'!$M$14</c:f>
              <c:numCache>
                <c:formatCode>0%</c:formatCode>
                <c:ptCount val="1"/>
                <c:pt idx="0">
                  <c:v>0.54</c:v>
                </c:pt>
              </c:numCache>
            </c:numRef>
          </c:val>
          <c:extLst>
            <c:ext xmlns:c16="http://schemas.microsoft.com/office/drawing/2014/chart" uri="{C3380CC4-5D6E-409C-BE32-E72D297353CC}">
              <c16:uniqueId val="{00000001-5FA4-4D34-A8DF-AC4E0E8E89C0}"/>
            </c:ext>
          </c:extLst>
        </c:ser>
        <c:dLbls>
          <c:showLegendKey val="0"/>
          <c:showVal val="0"/>
          <c:showCatName val="0"/>
          <c:showSerName val="0"/>
          <c:showPercent val="0"/>
          <c:showBubbleSize val="0"/>
        </c:dLbls>
        <c:gapWidth val="150"/>
        <c:overlap val="100"/>
        <c:axId val="384333424"/>
        <c:axId val="384346864"/>
      </c:barChart>
      <c:catAx>
        <c:axId val="384333424"/>
        <c:scaling>
          <c:orientation val="minMax"/>
        </c:scaling>
        <c:delete val="1"/>
        <c:axPos val="l"/>
        <c:majorTickMark val="none"/>
        <c:minorTickMark val="none"/>
        <c:tickLblPos val="nextTo"/>
        <c:crossAx val="384346864"/>
        <c:crosses val="autoZero"/>
        <c:auto val="1"/>
        <c:lblAlgn val="ctr"/>
        <c:lblOffset val="100"/>
        <c:noMultiLvlLbl val="0"/>
      </c:catAx>
      <c:valAx>
        <c:axId val="384346864"/>
        <c:scaling>
          <c:orientation val="minMax"/>
        </c:scaling>
        <c:delete val="1"/>
        <c:axPos val="b"/>
        <c:numFmt formatCode="0%" sourceLinked="1"/>
        <c:majorTickMark val="none"/>
        <c:minorTickMark val="none"/>
        <c:tickLblPos val="nextTo"/>
        <c:crossAx val="38433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table'!$L$15</c:f>
              <c:numCache>
                <c:formatCode>0%</c:formatCode>
                <c:ptCount val="1"/>
                <c:pt idx="0">
                  <c:v>0.16</c:v>
                </c:pt>
              </c:numCache>
            </c:numRef>
          </c:val>
          <c:extLst>
            <c:ext xmlns:c16="http://schemas.microsoft.com/office/drawing/2014/chart" uri="{C3380CC4-5D6E-409C-BE32-E72D297353CC}">
              <c16:uniqueId val="{00000000-ADCC-42D7-8204-72A472333142}"/>
            </c:ext>
          </c:extLst>
        </c:ser>
        <c:ser>
          <c:idx val="1"/>
          <c:order val="1"/>
          <c:spPr>
            <a:solidFill>
              <a:srgbClr val="1F1F1F"/>
            </a:solidFill>
            <a:ln>
              <a:noFill/>
            </a:ln>
            <a:effectLst/>
          </c:spPr>
          <c:invertIfNegative val="0"/>
          <c:val>
            <c:numRef>
              <c:f>'pivot table'!$M$15</c:f>
              <c:numCache>
                <c:formatCode>0%</c:formatCode>
                <c:ptCount val="1"/>
                <c:pt idx="0">
                  <c:v>0.84</c:v>
                </c:pt>
              </c:numCache>
            </c:numRef>
          </c:val>
          <c:extLst>
            <c:ext xmlns:c16="http://schemas.microsoft.com/office/drawing/2014/chart" uri="{C3380CC4-5D6E-409C-BE32-E72D297353CC}">
              <c16:uniqueId val="{00000001-ADCC-42D7-8204-72A472333142}"/>
            </c:ext>
          </c:extLst>
        </c:ser>
        <c:dLbls>
          <c:showLegendKey val="0"/>
          <c:showVal val="0"/>
          <c:showCatName val="0"/>
          <c:showSerName val="0"/>
          <c:showPercent val="0"/>
          <c:showBubbleSize val="0"/>
        </c:dLbls>
        <c:gapWidth val="150"/>
        <c:overlap val="100"/>
        <c:axId val="280066144"/>
        <c:axId val="280056544"/>
      </c:barChart>
      <c:catAx>
        <c:axId val="280066144"/>
        <c:scaling>
          <c:orientation val="minMax"/>
        </c:scaling>
        <c:delete val="1"/>
        <c:axPos val="l"/>
        <c:majorTickMark val="none"/>
        <c:minorTickMark val="none"/>
        <c:tickLblPos val="nextTo"/>
        <c:crossAx val="280056544"/>
        <c:crosses val="autoZero"/>
        <c:auto val="1"/>
        <c:lblAlgn val="ctr"/>
        <c:lblOffset val="100"/>
        <c:noMultiLvlLbl val="0"/>
      </c:catAx>
      <c:valAx>
        <c:axId val="280056544"/>
        <c:scaling>
          <c:orientation val="minMax"/>
        </c:scaling>
        <c:delete val="1"/>
        <c:axPos val="b"/>
        <c:numFmt formatCode="0%" sourceLinked="1"/>
        <c:majorTickMark val="none"/>
        <c:minorTickMark val="none"/>
        <c:tickLblPos val="nextTo"/>
        <c:crossAx val="28006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table'!$L$16</c:f>
              <c:numCache>
                <c:formatCode>0%</c:formatCode>
                <c:ptCount val="1"/>
                <c:pt idx="0">
                  <c:v>0.38</c:v>
                </c:pt>
              </c:numCache>
            </c:numRef>
          </c:val>
          <c:extLst>
            <c:ext xmlns:c16="http://schemas.microsoft.com/office/drawing/2014/chart" uri="{C3380CC4-5D6E-409C-BE32-E72D297353CC}">
              <c16:uniqueId val="{00000000-FA3A-457E-A461-B409A03701E1}"/>
            </c:ext>
          </c:extLst>
        </c:ser>
        <c:ser>
          <c:idx val="1"/>
          <c:order val="1"/>
          <c:spPr>
            <a:solidFill>
              <a:srgbClr val="1F1F1F"/>
            </a:solidFill>
            <a:ln>
              <a:noFill/>
            </a:ln>
            <a:effectLst/>
          </c:spPr>
          <c:invertIfNegative val="0"/>
          <c:val>
            <c:numRef>
              <c:f>'pivot table'!$M$16</c:f>
              <c:numCache>
                <c:formatCode>0%</c:formatCode>
                <c:ptCount val="1"/>
                <c:pt idx="0">
                  <c:v>0.62</c:v>
                </c:pt>
              </c:numCache>
            </c:numRef>
          </c:val>
          <c:extLst>
            <c:ext xmlns:c16="http://schemas.microsoft.com/office/drawing/2014/chart" uri="{C3380CC4-5D6E-409C-BE32-E72D297353CC}">
              <c16:uniqueId val="{00000001-FA3A-457E-A461-B409A03701E1}"/>
            </c:ext>
          </c:extLst>
        </c:ser>
        <c:dLbls>
          <c:showLegendKey val="0"/>
          <c:showVal val="0"/>
          <c:showCatName val="0"/>
          <c:showSerName val="0"/>
          <c:showPercent val="0"/>
          <c:showBubbleSize val="0"/>
        </c:dLbls>
        <c:gapWidth val="150"/>
        <c:overlap val="100"/>
        <c:axId val="367544624"/>
        <c:axId val="367547504"/>
      </c:barChart>
      <c:catAx>
        <c:axId val="367544624"/>
        <c:scaling>
          <c:orientation val="minMax"/>
        </c:scaling>
        <c:delete val="1"/>
        <c:axPos val="l"/>
        <c:majorTickMark val="none"/>
        <c:minorTickMark val="none"/>
        <c:tickLblPos val="nextTo"/>
        <c:crossAx val="367547504"/>
        <c:crosses val="autoZero"/>
        <c:auto val="1"/>
        <c:lblAlgn val="ctr"/>
        <c:lblOffset val="100"/>
        <c:noMultiLvlLbl val="0"/>
      </c:catAx>
      <c:valAx>
        <c:axId val="367547504"/>
        <c:scaling>
          <c:orientation val="minMax"/>
        </c:scaling>
        <c:delete val="1"/>
        <c:axPos val="b"/>
        <c:numFmt formatCode="0%" sourceLinked="1"/>
        <c:majorTickMark val="none"/>
        <c:minorTickMark val="none"/>
        <c:tickLblPos val="nextTo"/>
        <c:crossAx val="36754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E5B244"/>
            </a:solidFill>
            <a:ln>
              <a:noFill/>
            </a:ln>
          </c:spPr>
          <c:dPt>
            <c:idx val="0"/>
            <c:bubble3D val="0"/>
            <c:spPr>
              <a:solidFill>
                <a:srgbClr val="E5B244"/>
              </a:solidFill>
              <a:ln w="19050">
                <a:noFill/>
              </a:ln>
              <a:effectLst/>
            </c:spPr>
            <c:extLst>
              <c:ext xmlns:c16="http://schemas.microsoft.com/office/drawing/2014/chart" uri="{C3380CC4-5D6E-409C-BE32-E72D297353CC}">
                <c16:uniqueId val="{00000001-58D7-4FB2-BE68-6849A513BFFB}"/>
              </c:ext>
            </c:extLst>
          </c:dPt>
          <c:dPt>
            <c:idx val="1"/>
            <c:bubble3D val="0"/>
            <c:spPr>
              <a:solidFill>
                <a:srgbClr val="1F1F1F"/>
              </a:solidFill>
              <a:ln w="19050">
                <a:noFill/>
              </a:ln>
              <a:effectLst/>
            </c:spPr>
            <c:extLst>
              <c:ext xmlns:c16="http://schemas.microsoft.com/office/drawing/2014/chart" uri="{C3380CC4-5D6E-409C-BE32-E72D297353CC}">
                <c16:uniqueId val="{00000003-58D7-4FB2-BE68-6849A513BFFB}"/>
              </c:ext>
            </c:extLst>
          </c:dPt>
          <c:val>
            <c:numRef>
              <c:f>'pivot table'!$I$20:$J$20</c:f>
              <c:numCache>
                <c:formatCode>0%</c:formatCode>
                <c:ptCount val="2"/>
                <c:pt idx="0">
                  <c:v>0.52</c:v>
                </c:pt>
                <c:pt idx="1">
                  <c:v>0.48</c:v>
                </c:pt>
              </c:numCache>
            </c:numRef>
          </c:val>
          <c:extLst>
            <c:ext xmlns:c16="http://schemas.microsoft.com/office/drawing/2014/chart" uri="{C3380CC4-5D6E-409C-BE32-E72D297353CC}">
              <c16:uniqueId val="{00000004-58D7-4FB2-BE68-6849A513BFF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FA59-430A-A4E2-C186DBB2D3A8}"/>
              </c:ext>
            </c:extLst>
          </c:dPt>
          <c:dPt>
            <c:idx val="1"/>
            <c:bubble3D val="0"/>
            <c:spPr>
              <a:solidFill>
                <a:srgbClr val="1F1F1F"/>
              </a:solidFill>
              <a:ln w="19050">
                <a:noFill/>
              </a:ln>
              <a:effectLst/>
            </c:spPr>
            <c:extLst>
              <c:ext xmlns:c16="http://schemas.microsoft.com/office/drawing/2014/chart" uri="{C3380CC4-5D6E-409C-BE32-E72D297353CC}">
                <c16:uniqueId val="{00000003-FA59-430A-A4E2-C186DBB2D3A8}"/>
              </c:ext>
            </c:extLst>
          </c:dPt>
          <c:val>
            <c:numRef>
              <c:f>'pivot table'!$I$19:$J$19</c:f>
              <c:numCache>
                <c:formatCode>0%</c:formatCode>
                <c:ptCount val="2"/>
                <c:pt idx="0">
                  <c:v>0.48</c:v>
                </c:pt>
                <c:pt idx="1">
                  <c:v>0.52</c:v>
                </c:pt>
              </c:numCache>
            </c:numRef>
          </c:val>
          <c:extLst>
            <c:ext xmlns:c16="http://schemas.microsoft.com/office/drawing/2014/chart" uri="{C3380CC4-5D6E-409C-BE32-E72D297353CC}">
              <c16:uniqueId val="{00000004-FA59-430A-A4E2-C186DBB2D3A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table'!$D$10</c:f>
              <c:strCache>
                <c:ptCount val="1"/>
                <c:pt idx="0">
                  <c:v>Analyst</c:v>
                </c:pt>
              </c:strCache>
            </c:strRef>
          </c:tx>
          <c:spPr>
            <a:solidFill>
              <a:srgbClr val="77933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table'!$F$10</c:f>
              <c:numCache>
                <c:formatCode>_(* #,##0_);_(* \(#,##0\);_(* "-"??_);_(@_)</c:formatCode>
                <c:ptCount val="1"/>
                <c:pt idx="0">
                  <c:v>28</c:v>
                </c:pt>
              </c:numCache>
            </c:numRef>
          </c:val>
          <c:extLst>
            <c:ext xmlns:c16="http://schemas.microsoft.com/office/drawing/2014/chart" uri="{C3380CC4-5D6E-409C-BE32-E72D297353CC}">
              <c16:uniqueId val="{00000000-A9FC-425C-85E3-4C0DF15F3CD0}"/>
            </c:ext>
          </c:extLst>
        </c:ser>
        <c:ser>
          <c:idx val="1"/>
          <c:order val="1"/>
          <c:tx>
            <c:strRef>
              <c:f>'pivot table'!$D$11</c:f>
              <c:strCache>
                <c:ptCount val="1"/>
                <c:pt idx="0">
                  <c:v>Designer</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table'!$F$11</c:f>
              <c:numCache>
                <c:formatCode>_(* #,##0_);_(* \(#,##0\);_(* "-"??_);_(@_)</c:formatCode>
                <c:ptCount val="1"/>
                <c:pt idx="0">
                  <c:v>110</c:v>
                </c:pt>
              </c:numCache>
            </c:numRef>
          </c:val>
          <c:extLst>
            <c:ext xmlns:c16="http://schemas.microsoft.com/office/drawing/2014/chart" uri="{C3380CC4-5D6E-409C-BE32-E72D297353CC}">
              <c16:uniqueId val="{00000001-A9FC-425C-85E3-4C0DF15F3CD0}"/>
            </c:ext>
          </c:extLst>
        </c:ser>
        <c:ser>
          <c:idx val="2"/>
          <c:order val="2"/>
          <c:tx>
            <c:strRef>
              <c:f>'pivot table'!$D$12</c:f>
              <c:strCache>
                <c:ptCount val="1"/>
                <c:pt idx="0">
                  <c:v>Developer</c:v>
                </c:pt>
              </c:strCache>
            </c:strRef>
          </c:tx>
          <c:spPr>
            <a:solidFill>
              <a:srgbClr val="948A5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table'!$F$12</c:f>
              <c:numCache>
                <c:formatCode>_(* #,##0_);_(* \(#,##0\);_(* "-"??_);_(@_)</c:formatCode>
                <c:ptCount val="1"/>
                <c:pt idx="0">
                  <c:v>104</c:v>
                </c:pt>
              </c:numCache>
            </c:numRef>
          </c:val>
          <c:extLst>
            <c:ext xmlns:c16="http://schemas.microsoft.com/office/drawing/2014/chart" uri="{C3380CC4-5D6E-409C-BE32-E72D297353CC}">
              <c16:uniqueId val="{00000002-A9FC-425C-85E3-4C0DF15F3CD0}"/>
            </c:ext>
          </c:extLst>
        </c:ser>
        <c:ser>
          <c:idx val="3"/>
          <c:order val="3"/>
          <c:tx>
            <c:strRef>
              <c:f>'pivot table'!$D$13</c:f>
              <c:strCache>
                <c:ptCount val="1"/>
                <c:pt idx="0">
                  <c:v>HR Specialist</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table'!$F$13</c:f>
              <c:numCache>
                <c:formatCode>_(* #,##0_);_(* \(#,##0\);_(* "-"??_);_(@_)</c:formatCode>
                <c:ptCount val="1"/>
                <c:pt idx="0">
                  <c:v>123</c:v>
                </c:pt>
              </c:numCache>
            </c:numRef>
          </c:val>
          <c:extLst>
            <c:ext xmlns:c16="http://schemas.microsoft.com/office/drawing/2014/chart" uri="{C3380CC4-5D6E-409C-BE32-E72D297353CC}">
              <c16:uniqueId val="{00000003-A9FC-425C-85E3-4C0DF15F3CD0}"/>
            </c:ext>
          </c:extLst>
        </c:ser>
        <c:ser>
          <c:idx val="4"/>
          <c:order val="4"/>
          <c:tx>
            <c:strRef>
              <c:f>'pivot table'!$D$14</c:f>
              <c:strCache>
                <c:ptCount val="1"/>
                <c:pt idx="0">
                  <c:v>Manager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table'!$F$14</c:f>
              <c:numCache>
                <c:formatCode>_(* #,##0_);_(* \(#,##0\);_(* "-"??_);_(@_)</c:formatCode>
                <c:ptCount val="1"/>
                <c:pt idx="0">
                  <c:v>122</c:v>
                </c:pt>
              </c:numCache>
            </c:numRef>
          </c:val>
          <c:extLst>
            <c:ext xmlns:c16="http://schemas.microsoft.com/office/drawing/2014/chart" uri="{C3380CC4-5D6E-409C-BE32-E72D297353CC}">
              <c16:uniqueId val="{00000004-A9FC-425C-85E3-4C0DF15F3CD0}"/>
            </c:ext>
          </c:extLst>
        </c:ser>
        <c:dLbls>
          <c:dLblPos val="outEnd"/>
          <c:showLegendKey val="0"/>
          <c:showVal val="1"/>
          <c:showCatName val="0"/>
          <c:showSerName val="0"/>
          <c:showPercent val="0"/>
          <c:showBubbleSize val="0"/>
        </c:dLbls>
        <c:gapWidth val="219"/>
        <c:overlap val="-27"/>
        <c:axId val="2048235583"/>
        <c:axId val="2048225023"/>
      </c:barChart>
      <c:catAx>
        <c:axId val="2048235583"/>
        <c:scaling>
          <c:orientation val="minMax"/>
        </c:scaling>
        <c:delete val="1"/>
        <c:axPos val="b"/>
        <c:numFmt formatCode="General" sourceLinked="1"/>
        <c:majorTickMark val="none"/>
        <c:minorTickMark val="none"/>
        <c:tickLblPos val="nextTo"/>
        <c:crossAx val="2048225023"/>
        <c:crosses val="autoZero"/>
        <c:auto val="1"/>
        <c:lblAlgn val="ctr"/>
        <c:lblOffset val="100"/>
        <c:noMultiLvlLbl val="0"/>
      </c:catAx>
      <c:valAx>
        <c:axId val="2048225023"/>
        <c:scaling>
          <c:orientation val="minMax"/>
        </c:scaling>
        <c:delete val="1"/>
        <c:axPos val="l"/>
        <c:majorGridlines>
          <c:spPr>
            <a:ln w="9525" cap="rnd" cmpd="sng" algn="ctr">
              <a:solidFill>
                <a:srgbClr val="E5B244">
                  <a:alpha val="50000"/>
                </a:srgbClr>
              </a:solidFill>
              <a:prstDash val="dash"/>
              <a:round/>
            </a:ln>
            <a:effectLst/>
          </c:spPr>
        </c:majorGridlines>
        <c:numFmt formatCode="_(* #,##0_);_(* \(#,##0\);_(* &quot;-&quot;??_);_(@_)" sourceLinked="1"/>
        <c:majorTickMark val="none"/>
        <c:minorTickMark val="none"/>
        <c:tickLblPos val="nextTo"/>
        <c:crossAx val="2048235583"/>
        <c:crosses val="autoZero"/>
        <c:crossBetween val="between"/>
      </c:valAx>
      <c:spPr>
        <a:noFill/>
        <a:ln>
          <a:noFill/>
        </a:ln>
        <a:effectLst/>
      </c:spPr>
    </c:plotArea>
    <c:legend>
      <c:legendPos val="b"/>
      <c:layout>
        <c:manualLayout>
          <c:xMode val="edge"/>
          <c:yMode val="edge"/>
          <c:x val="6.3209021949179434E-2"/>
          <c:y val="0.80459649440371672"/>
          <c:w val="0.89800198052166569"/>
          <c:h val="0.1647521646001146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Dashboard Project.xlsx]pivot table!PivotTable7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table'!$AG$3</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table'!$AF$4:$AF$9</c:f>
              <c:strCache>
                <c:ptCount val="5"/>
                <c:pt idx="0">
                  <c:v>Central</c:v>
                </c:pt>
                <c:pt idx="1">
                  <c:v>East</c:v>
                </c:pt>
                <c:pt idx="2">
                  <c:v>North</c:v>
                </c:pt>
                <c:pt idx="3">
                  <c:v>South</c:v>
                </c:pt>
                <c:pt idx="4">
                  <c:v>West</c:v>
                </c:pt>
              </c:strCache>
            </c:strRef>
          </c:cat>
          <c:val>
            <c:numRef>
              <c:f>'pivot table'!$AG$4:$AG$9</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650D-47C8-B672-4702CC12AA60}"/>
            </c:ext>
          </c:extLst>
        </c:ser>
        <c:dLbls>
          <c:showLegendKey val="0"/>
          <c:showVal val="0"/>
          <c:showCatName val="0"/>
          <c:showSerName val="0"/>
          <c:showPercent val="0"/>
          <c:showBubbleSize val="0"/>
        </c:dLbls>
        <c:gapWidth val="25"/>
        <c:axId val="1936976623"/>
        <c:axId val="1936972783"/>
      </c:barChart>
      <c:catAx>
        <c:axId val="19369766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800" b="0" i="0" u="none" strike="noStrike" kern="1200" baseline="0">
                <a:solidFill>
                  <a:schemeClr val="bg1"/>
                </a:solidFill>
                <a:latin typeface="Kulim Park" pitchFamily="2" charset="0"/>
                <a:ea typeface="+mn-ea"/>
                <a:cs typeface="+mn-cs"/>
              </a:defRPr>
            </a:pPr>
            <a:endParaRPr lang="en-US"/>
          </a:p>
        </c:txPr>
        <c:crossAx val="1936972783"/>
        <c:crosses val="autoZero"/>
        <c:auto val="1"/>
        <c:lblAlgn val="ctr"/>
        <c:lblOffset val="100"/>
        <c:noMultiLvlLbl val="0"/>
      </c:catAx>
      <c:valAx>
        <c:axId val="1936972783"/>
        <c:scaling>
          <c:orientation val="minMax"/>
        </c:scaling>
        <c:delete val="1"/>
        <c:axPos val="b"/>
        <c:numFmt formatCode="General" sourceLinked="1"/>
        <c:majorTickMark val="none"/>
        <c:minorTickMark val="none"/>
        <c:tickLblPos val="nextTo"/>
        <c:crossAx val="193697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7.xml"/><Relationship Id="rId18" Type="http://schemas.openxmlformats.org/officeDocument/2006/relationships/image" Target="../media/image7.png"/><Relationship Id="rId3" Type="http://schemas.openxmlformats.org/officeDocument/2006/relationships/chart" Target="../charts/chart3.xml"/><Relationship Id="rId7" Type="http://schemas.microsoft.com/office/2007/relationships/hdphoto" Target="../media/hdphoto1.wdp"/><Relationship Id="rId12" Type="http://schemas.openxmlformats.org/officeDocument/2006/relationships/chart" Target="../charts/chart6.xml"/><Relationship Id="rId17" Type="http://schemas.microsoft.com/office/2007/relationships/hdphoto" Target="../media/hdphoto2.wdp"/><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chart" Target="../charts/chart9.xml"/><Relationship Id="rId10" Type="http://schemas.openxmlformats.org/officeDocument/2006/relationships/image" Target="../media/image4.png"/><Relationship Id="rId19" Type="http://schemas.microsoft.com/office/2007/relationships/hdphoto" Target="../media/hdphoto3.wdp"/><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38100</xdr:rowOff>
    </xdr:from>
    <xdr:to>
      <xdr:col>17</xdr:col>
      <xdr:colOff>180120</xdr:colOff>
      <xdr:row>36</xdr:row>
      <xdr:rowOff>28740</xdr:rowOff>
    </xdr:to>
    <xdr:sp macro="" textlink="">
      <xdr:nvSpPr>
        <xdr:cNvPr id="2" name="Rectangle: Rounded Corners 1">
          <a:extLst>
            <a:ext uri="{FF2B5EF4-FFF2-40B4-BE49-F238E27FC236}">
              <a16:creationId xmlns:a16="http://schemas.microsoft.com/office/drawing/2014/main" id="{4AFD43C5-00C6-A86F-0483-6EDBA9A7C0D6}"/>
            </a:ext>
          </a:extLst>
        </xdr:cNvPr>
        <xdr:cNvSpPr>
          <a:spLocks/>
        </xdr:cNvSpPr>
      </xdr:nvSpPr>
      <xdr:spPr>
        <a:xfrm>
          <a:off x="45720" y="38100"/>
          <a:ext cx="10497600" cy="6162840"/>
        </a:xfrm>
        <a:prstGeom prst="roundRect">
          <a:avLst>
            <a:gd name="adj" fmla="val 2395"/>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509451</xdr:colOff>
      <xdr:row>21</xdr:row>
      <xdr:rowOff>163218</xdr:rowOff>
    </xdr:from>
    <xdr:to>
      <xdr:col>11</xdr:col>
      <xdr:colOff>519051</xdr:colOff>
      <xdr:row>35</xdr:row>
      <xdr:rowOff>102918</xdr:rowOff>
    </xdr:to>
    <xdr:sp macro="" textlink="">
      <xdr:nvSpPr>
        <xdr:cNvPr id="8" name="Rectangle: Rounded Corners 7">
          <a:extLst>
            <a:ext uri="{FF2B5EF4-FFF2-40B4-BE49-F238E27FC236}">
              <a16:creationId xmlns:a16="http://schemas.microsoft.com/office/drawing/2014/main" id="{07B83D60-E572-25A3-ADD7-44A076F7BB4D}"/>
            </a:ext>
          </a:extLst>
        </xdr:cNvPr>
        <xdr:cNvSpPr/>
      </xdr:nvSpPr>
      <xdr:spPr>
        <a:xfrm>
          <a:off x="4776651" y="3763668"/>
          <a:ext cx="2448000" cy="2340000"/>
        </a:xfrm>
        <a:prstGeom prst="roundRect">
          <a:avLst>
            <a:gd name="adj" fmla="val 523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352426</xdr:colOff>
      <xdr:row>27</xdr:row>
      <xdr:rowOff>72390</xdr:rowOff>
    </xdr:from>
    <xdr:to>
      <xdr:col>11</xdr:col>
      <xdr:colOff>504826</xdr:colOff>
      <xdr:row>29</xdr:row>
      <xdr:rowOff>34361</xdr:rowOff>
    </xdr:to>
    <xdr:sp macro="" textlink="'pivot table'!E14">
      <xdr:nvSpPr>
        <xdr:cNvPr id="42" name="TextBox 41">
          <a:extLst>
            <a:ext uri="{FF2B5EF4-FFF2-40B4-BE49-F238E27FC236}">
              <a16:creationId xmlns:a16="http://schemas.microsoft.com/office/drawing/2014/main" id="{4781E79F-8AF6-63A5-E160-5712E54A4588}"/>
            </a:ext>
          </a:extLst>
        </xdr:cNvPr>
        <xdr:cNvSpPr txBox="1"/>
      </xdr:nvSpPr>
      <xdr:spPr>
        <a:xfrm>
          <a:off x="5838826" y="4701540"/>
          <a:ext cx="1371600" cy="304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E56B692-F8D4-4EAE-882A-2B6F67D21BD3}" type="TxLink">
            <a:rPr lang="en-US" sz="1400" b="0">
              <a:solidFill>
                <a:schemeClr val="bg1"/>
              </a:solidFill>
              <a:latin typeface="Kulim Park" pitchFamily="2" charset="0"/>
              <a:ea typeface="+mn-ea"/>
              <a:cs typeface="+mn-cs"/>
            </a:rPr>
            <a:pPr marL="0" indent="0" algn="r"/>
            <a:t> 731,170 </a:t>
          </a:fld>
          <a:endParaRPr lang="en-US" sz="1400" b="0">
            <a:solidFill>
              <a:schemeClr val="bg1"/>
            </a:solidFill>
            <a:latin typeface="Kulim Park" pitchFamily="2" charset="0"/>
            <a:ea typeface="+mn-ea"/>
            <a:cs typeface="+mn-cs"/>
          </a:endParaRPr>
        </a:p>
      </xdr:txBody>
    </xdr:sp>
    <xdr:clientData/>
  </xdr:twoCellAnchor>
  <xdr:twoCellAnchor>
    <xdr:from>
      <xdr:col>9</xdr:col>
      <xdr:colOff>352426</xdr:colOff>
      <xdr:row>29</xdr:row>
      <xdr:rowOff>1905</xdr:rowOff>
    </xdr:from>
    <xdr:to>
      <xdr:col>11</xdr:col>
      <xdr:colOff>504826</xdr:colOff>
      <xdr:row>30</xdr:row>
      <xdr:rowOff>114300</xdr:rowOff>
    </xdr:to>
    <xdr:sp macro="" textlink="'pivot table'!E13">
      <xdr:nvSpPr>
        <xdr:cNvPr id="43" name="TextBox 42">
          <a:extLst>
            <a:ext uri="{FF2B5EF4-FFF2-40B4-BE49-F238E27FC236}">
              <a16:creationId xmlns:a16="http://schemas.microsoft.com/office/drawing/2014/main" id="{31ADEDA3-AE55-1E10-9C28-062718CCCF1D}"/>
            </a:ext>
          </a:extLst>
        </xdr:cNvPr>
        <xdr:cNvSpPr txBox="1"/>
      </xdr:nvSpPr>
      <xdr:spPr>
        <a:xfrm>
          <a:off x="5838826" y="4973955"/>
          <a:ext cx="1371600" cy="28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1965C2C2-D00A-4118-B031-2E0B840E1C90}" type="TxLink">
            <a:rPr lang="en-US" sz="1400" b="0">
              <a:solidFill>
                <a:schemeClr val="bg1"/>
              </a:solidFill>
              <a:latin typeface="Kulim Park" pitchFamily="2" charset="0"/>
              <a:ea typeface="+mn-ea"/>
              <a:cs typeface="+mn-cs"/>
            </a:rPr>
            <a:pPr marL="0" indent="0" algn="r"/>
            <a:t> 959,266 </a:t>
          </a:fld>
          <a:endParaRPr lang="en-US" sz="1400" b="0">
            <a:solidFill>
              <a:schemeClr val="bg1"/>
            </a:solidFill>
            <a:latin typeface="Kulim Park" pitchFamily="2" charset="0"/>
            <a:ea typeface="+mn-ea"/>
            <a:cs typeface="+mn-cs"/>
          </a:endParaRPr>
        </a:p>
      </xdr:txBody>
    </xdr:sp>
    <xdr:clientData/>
  </xdr:twoCellAnchor>
  <xdr:twoCellAnchor>
    <xdr:from>
      <xdr:col>9</xdr:col>
      <xdr:colOff>601808</xdr:colOff>
      <xdr:row>30</xdr:row>
      <xdr:rowOff>83820</xdr:rowOff>
    </xdr:from>
    <xdr:to>
      <xdr:col>11</xdr:col>
      <xdr:colOff>504826</xdr:colOff>
      <xdr:row>32</xdr:row>
      <xdr:rowOff>24765</xdr:rowOff>
    </xdr:to>
    <xdr:sp macro="" textlink="'pivot table'!E12">
      <xdr:nvSpPr>
        <xdr:cNvPr id="44" name="TextBox 43">
          <a:extLst>
            <a:ext uri="{FF2B5EF4-FFF2-40B4-BE49-F238E27FC236}">
              <a16:creationId xmlns:a16="http://schemas.microsoft.com/office/drawing/2014/main" id="{8E608825-62C8-3FE9-58EB-9ADBDFCE371C}"/>
            </a:ext>
          </a:extLst>
        </xdr:cNvPr>
        <xdr:cNvSpPr txBox="1"/>
      </xdr:nvSpPr>
      <xdr:spPr>
        <a:xfrm>
          <a:off x="6088208" y="5227320"/>
          <a:ext cx="1122218" cy="28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A519CED-9218-4E1D-997A-6B9476FBAA21}" type="TxLink">
            <a:rPr lang="en-US" sz="1400" b="0">
              <a:solidFill>
                <a:schemeClr val="bg1"/>
              </a:solidFill>
              <a:latin typeface="Kulim Park" pitchFamily="2" charset="0"/>
              <a:ea typeface="+mn-ea"/>
              <a:cs typeface="+mn-cs"/>
            </a:rPr>
            <a:pPr marL="0" indent="0" algn="r"/>
            <a:t> 633,594 </a:t>
          </a:fld>
          <a:endParaRPr lang="en-US" sz="1400" b="0">
            <a:solidFill>
              <a:schemeClr val="bg1"/>
            </a:solidFill>
            <a:latin typeface="Kulim Park" pitchFamily="2" charset="0"/>
            <a:ea typeface="+mn-ea"/>
            <a:cs typeface="+mn-cs"/>
          </a:endParaRPr>
        </a:p>
      </xdr:txBody>
    </xdr:sp>
    <xdr:clientData/>
  </xdr:twoCellAnchor>
  <xdr:twoCellAnchor>
    <xdr:from>
      <xdr:col>10</xdr:col>
      <xdr:colOff>196246</xdr:colOff>
      <xdr:row>33</xdr:row>
      <xdr:rowOff>85725</xdr:rowOff>
    </xdr:from>
    <xdr:to>
      <xdr:col>11</xdr:col>
      <xdr:colOff>504825</xdr:colOff>
      <xdr:row>35</xdr:row>
      <xdr:rowOff>26670</xdr:rowOff>
    </xdr:to>
    <xdr:sp macro="" textlink="'pivot table'!E10">
      <xdr:nvSpPr>
        <xdr:cNvPr id="45" name="TextBox 44">
          <a:extLst>
            <a:ext uri="{FF2B5EF4-FFF2-40B4-BE49-F238E27FC236}">
              <a16:creationId xmlns:a16="http://schemas.microsoft.com/office/drawing/2014/main" id="{3719A7B4-7729-27E4-B4EC-C98D80889834}"/>
            </a:ext>
          </a:extLst>
        </xdr:cNvPr>
        <xdr:cNvSpPr txBox="1"/>
      </xdr:nvSpPr>
      <xdr:spPr>
        <a:xfrm>
          <a:off x="6292246" y="5743575"/>
          <a:ext cx="918179" cy="28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43A2A3F-9B8D-413B-B2F1-A67593E69265}" type="TxLink">
            <a:rPr lang="en-US" sz="1400" b="0">
              <a:solidFill>
                <a:schemeClr val="bg1"/>
              </a:solidFill>
              <a:latin typeface="Kulim Park" pitchFamily="2" charset="0"/>
              <a:ea typeface="+mn-ea"/>
              <a:cs typeface="+mn-cs"/>
            </a:rPr>
            <a:pPr marL="0" indent="0" algn="r"/>
            <a:t> 167,041 </a:t>
          </a:fld>
          <a:endParaRPr lang="en-US" sz="1400" b="0">
            <a:solidFill>
              <a:schemeClr val="bg1"/>
            </a:solidFill>
            <a:latin typeface="Kulim Park" pitchFamily="2" charset="0"/>
            <a:ea typeface="+mn-ea"/>
            <a:cs typeface="+mn-cs"/>
          </a:endParaRPr>
        </a:p>
      </xdr:txBody>
    </xdr:sp>
    <xdr:clientData/>
  </xdr:twoCellAnchor>
  <xdr:twoCellAnchor>
    <xdr:from>
      <xdr:col>10</xdr:col>
      <xdr:colOff>48885</xdr:colOff>
      <xdr:row>31</xdr:row>
      <xdr:rowOff>165735</xdr:rowOff>
    </xdr:from>
    <xdr:to>
      <xdr:col>11</xdr:col>
      <xdr:colOff>504825</xdr:colOff>
      <xdr:row>33</xdr:row>
      <xdr:rowOff>117192</xdr:rowOff>
    </xdr:to>
    <xdr:sp macro="" textlink="'pivot table'!E11">
      <xdr:nvSpPr>
        <xdr:cNvPr id="46" name="TextBox 45">
          <a:extLst>
            <a:ext uri="{FF2B5EF4-FFF2-40B4-BE49-F238E27FC236}">
              <a16:creationId xmlns:a16="http://schemas.microsoft.com/office/drawing/2014/main" id="{A0C80927-689A-53C2-A712-B3D1CF6DF645}"/>
            </a:ext>
          </a:extLst>
        </xdr:cNvPr>
        <xdr:cNvSpPr txBox="1"/>
      </xdr:nvSpPr>
      <xdr:spPr>
        <a:xfrm>
          <a:off x="6144885" y="5480685"/>
          <a:ext cx="1065540" cy="294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1414F75-DCC5-43CA-A001-B7CFED97B5E7}" type="TxLink">
            <a:rPr lang="en-US" sz="1400" b="0">
              <a:solidFill>
                <a:schemeClr val="bg1"/>
              </a:solidFill>
              <a:latin typeface="Kulim Park" pitchFamily="2" charset="0"/>
              <a:ea typeface="+mn-ea"/>
              <a:cs typeface="+mn-cs"/>
            </a:rPr>
            <a:pPr marL="0" indent="0" algn="r"/>
            <a:t> 613,842 </a:t>
          </a:fld>
          <a:endParaRPr lang="en-US" sz="1400" b="0">
            <a:solidFill>
              <a:schemeClr val="bg1"/>
            </a:solidFill>
            <a:latin typeface="Kulim Park" pitchFamily="2" charset="0"/>
            <a:ea typeface="+mn-ea"/>
            <a:cs typeface="+mn-cs"/>
          </a:endParaRPr>
        </a:p>
      </xdr:txBody>
    </xdr:sp>
    <xdr:clientData/>
  </xdr:twoCellAnchor>
  <xdr:twoCellAnchor>
    <xdr:from>
      <xdr:col>9</xdr:col>
      <xdr:colOff>590550</xdr:colOff>
      <xdr:row>25</xdr:row>
      <xdr:rowOff>161925</xdr:rowOff>
    </xdr:from>
    <xdr:to>
      <xdr:col>11</xdr:col>
      <xdr:colOff>451350</xdr:colOff>
      <xdr:row>27</xdr:row>
      <xdr:rowOff>71025</xdr:rowOff>
    </xdr:to>
    <xdr:sp macro="" textlink="">
      <xdr:nvSpPr>
        <xdr:cNvPr id="58" name="Rectangle: Rounded Corners 57">
          <a:extLst>
            <a:ext uri="{FF2B5EF4-FFF2-40B4-BE49-F238E27FC236}">
              <a16:creationId xmlns:a16="http://schemas.microsoft.com/office/drawing/2014/main" id="{6861FAE1-414E-9178-6F8F-666160C3643E}"/>
            </a:ext>
          </a:extLst>
        </xdr:cNvPr>
        <xdr:cNvSpPr/>
      </xdr:nvSpPr>
      <xdr:spPr>
        <a:xfrm>
          <a:off x="6076950" y="4448175"/>
          <a:ext cx="1080000" cy="252000"/>
        </a:xfrm>
        <a:prstGeom prst="roundRect">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128451</xdr:colOff>
      <xdr:row>25</xdr:row>
      <xdr:rowOff>55517</xdr:rowOff>
    </xdr:from>
    <xdr:to>
      <xdr:col>3</xdr:col>
      <xdr:colOff>207651</xdr:colOff>
      <xdr:row>35</xdr:row>
      <xdr:rowOff>102918</xdr:rowOff>
    </xdr:to>
    <xdr:sp macro="" textlink="">
      <xdr:nvSpPr>
        <xdr:cNvPr id="3" name="Rectangle: Rounded Corners 2">
          <a:extLst>
            <a:ext uri="{FF2B5EF4-FFF2-40B4-BE49-F238E27FC236}">
              <a16:creationId xmlns:a16="http://schemas.microsoft.com/office/drawing/2014/main" id="{B41DB6C6-ACE6-3AFC-CF13-E629D029B7BC}"/>
            </a:ext>
          </a:extLst>
        </xdr:cNvPr>
        <xdr:cNvSpPr/>
      </xdr:nvSpPr>
      <xdr:spPr>
        <a:xfrm>
          <a:off x="128451" y="4341767"/>
          <a:ext cx="1908000" cy="1761901"/>
        </a:xfrm>
        <a:prstGeom prst="roundRect">
          <a:avLst>
            <a:gd name="adj" fmla="val 523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128451</xdr:colOff>
      <xdr:row>7</xdr:row>
      <xdr:rowOff>93616</xdr:rowOff>
    </xdr:from>
    <xdr:to>
      <xdr:col>3</xdr:col>
      <xdr:colOff>207651</xdr:colOff>
      <xdr:row>24</xdr:row>
      <xdr:rowOff>104775</xdr:rowOff>
    </xdr:to>
    <xdr:sp macro="" textlink="">
      <xdr:nvSpPr>
        <xdr:cNvPr id="6" name="Rectangle: Rounded Corners 5">
          <a:extLst>
            <a:ext uri="{FF2B5EF4-FFF2-40B4-BE49-F238E27FC236}">
              <a16:creationId xmlns:a16="http://schemas.microsoft.com/office/drawing/2014/main" id="{7BFB5485-A79E-E79B-9949-71C6BB009557}"/>
            </a:ext>
          </a:extLst>
        </xdr:cNvPr>
        <xdr:cNvSpPr/>
      </xdr:nvSpPr>
      <xdr:spPr>
        <a:xfrm>
          <a:off x="128451" y="1293766"/>
          <a:ext cx="1908000" cy="2925809"/>
        </a:xfrm>
        <a:prstGeom prst="roundRect">
          <a:avLst>
            <a:gd name="adj" fmla="val 523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390388</xdr:colOff>
      <xdr:row>21</xdr:row>
      <xdr:rowOff>163218</xdr:rowOff>
    </xdr:from>
    <xdr:to>
      <xdr:col>7</xdr:col>
      <xdr:colOff>399988</xdr:colOff>
      <xdr:row>35</xdr:row>
      <xdr:rowOff>102918</xdr:rowOff>
    </xdr:to>
    <xdr:sp macro="" textlink="">
      <xdr:nvSpPr>
        <xdr:cNvPr id="7" name="Rectangle: Rounded Corners 6">
          <a:extLst>
            <a:ext uri="{FF2B5EF4-FFF2-40B4-BE49-F238E27FC236}">
              <a16:creationId xmlns:a16="http://schemas.microsoft.com/office/drawing/2014/main" id="{CD20E60D-CB10-F601-2036-79382A2CA607}"/>
            </a:ext>
          </a:extLst>
        </xdr:cNvPr>
        <xdr:cNvSpPr/>
      </xdr:nvSpPr>
      <xdr:spPr>
        <a:xfrm>
          <a:off x="2219188" y="3763668"/>
          <a:ext cx="2448000" cy="2340000"/>
        </a:xfrm>
        <a:prstGeom prst="roundRect">
          <a:avLst>
            <a:gd name="adj" fmla="val 523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509451</xdr:colOff>
      <xdr:row>7</xdr:row>
      <xdr:rowOff>93616</xdr:rowOff>
    </xdr:from>
    <xdr:to>
      <xdr:col>11</xdr:col>
      <xdr:colOff>519051</xdr:colOff>
      <xdr:row>21</xdr:row>
      <xdr:rowOff>33316</xdr:rowOff>
    </xdr:to>
    <xdr:sp macro="" textlink="">
      <xdr:nvSpPr>
        <xdr:cNvPr id="9" name="Rectangle: Rounded Corners 8">
          <a:extLst>
            <a:ext uri="{FF2B5EF4-FFF2-40B4-BE49-F238E27FC236}">
              <a16:creationId xmlns:a16="http://schemas.microsoft.com/office/drawing/2014/main" id="{562ECF23-A3BA-4DE5-9DD9-3D4ADEB93FFD}"/>
            </a:ext>
          </a:extLst>
        </xdr:cNvPr>
        <xdr:cNvSpPr/>
      </xdr:nvSpPr>
      <xdr:spPr>
        <a:xfrm>
          <a:off x="4776651" y="1293766"/>
          <a:ext cx="2448000" cy="2340000"/>
        </a:xfrm>
        <a:prstGeom prst="roundRect">
          <a:avLst>
            <a:gd name="adj" fmla="val 523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457063</xdr:colOff>
      <xdr:row>7</xdr:row>
      <xdr:rowOff>65041</xdr:rowOff>
    </xdr:from>
    <xdr:to>
      <xdr:col>7</xdr:col>
      <xdr:colOff>466663</xdr:colOff>
      <xdr:row>14</xdr:row>
      <xdr:rowOff>104775</xdr:rowOff>
    </xdr:to>
    <xdr:sp macro="" textlink="">
      <xdr:nvSpPr>
        <xdr:cNvPr id="10" name="Rectangle: Rounded Corners 9">
          <a:extLst>
            <a:ext uri="{FF2B5EF4-FFF2-40B4-BE49-F238E27FC236}">
              <a16:creationId xmlns:a16="http://schemas.microsoft.com/office/drawing/2014/main" id="{346A442D-D387-A9D3-11FE-2A0E6B97BF86}"/>
            </a:ext>
          </a:extLst>
        </xdr:cNvPr>
        <xdr:cNvSpPr/>
      </xdr:nvSpPr>
      <xdr:spPr>
        <a:xfrm>
          <a:off x="2285863" y="1265191"/>
          <a:ext cx="2448000" cy="1239884"/>
        </a:xfrm>
        <a:prstGeom prst="roundRect">
          <a:avLst>
            <a:gd name="adj" fmla="val 523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390388</xdr:colOff>
      <xdr:row>15</xdr:row>
      <xdr:rowOff>26940</xdr:rowOff>
    </xdr:from>
    <xdr:to>
      <xdr:col>5</xdr:col>
      <xdr:colOff>341188</xdr:colOff>
      <xdr:row>21</xdr:row>
      <xdr:rowOff>78240</xdr:rowOff>
    </xdr:to>
    <xdr:sp macro="" textlink="">
      <xdr:nvSpPr>
        <xdr:cNvPr id="11" name="Rectangle: Rounded Corners 10">
          <a:extLst>
            <a:ext uri="{FF2B5EF4-FFF2-40B4-BE49-F238E27FC236}">
              <a16:creationId xmlns:a16="http://schemas.microsoft.com/office/drawing/2014/main" id="{32A85414-3FA7-E4A1-1E12-C296E0FF9A3D}"/>
            </a:ext>
          </a:extLst>
        </xdr:cNvPr>
        <xdr:cNvSpPr/>
      </xdr:nvSpPr>
      <xdr:spPr>
        <a:xfrm>
          <a:off x="2219188" y="2598690"/>
          <a:ext cx="1170000" cy="1080000"/>
        </a:xfrm>
        <a:prstGeom prst="roundRect">
          <a:avLst>
            <a:gd name="adj" fmla="val 523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409438</xdr:colOff>
      <xdr:row>15</xdr:row>
      <xdr:rowOff>26940</xdr:rowOff>
    </xdr:from>
    <xdr:to>
      <xdr:col>7</xdr:col>
      <xdr:colOff>360238</xdr:colOff>
      <xdr:row>21</xdr:row>
      <xdr:rowOff>78240</xdr:rowOff>
    </xdr:to>
    <xdr:sp macro="" textlink="">
      <xdr:nvSpPr>
        <xdr:cNvPr id="12" name="Rectangle: Rounded Corners 11">
          <a:extLst>
            <a:ext uri="{FF2B5EF4-FFF2-40B4-BE49-F238E27FC236}">
              <a16:creationId xmlns:a16="http://schemas.microsoft.com/office/drawing/2014/main" id="{8C948304-DB42-2A3C-42F1-8E275B4F6E13}"/>
            </a:ext>
          </a:extLst>
        </xdr:cNvPr>
        <xdr:cNvSpPr/>
      </xdr:nvSpPr>
      <xdr:spPr>
        <a:xfrm>
          <a:off x="3457438" y="2598690"/>
          <a:ext cx="1170000" cy="1080000"/>
        </a:xfrm>
        <a:prstGeom prst="roundRect">
          <a:avLst>
            <a:gd name="adj" fmla="val 523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4626</xdr:colOff>
      <xdr:row>28</xdr:row>
      <xdr:rowOff>81319</xdr:rowOff>
    </xdr:from>
    <xdr:to>
      <xdr:col>14</xdr:col>
      <xdr:colOff>249792</xdr:colOff>
      <xdr:row>35</xdr:row>
      <xdr:rowOff>102918</xdr:rowOff>
    </xdr:to>
    <xdr:sp macro="" textlink="">
      <xdr:nvSpPr>
        <xdr:cNvPr id="13" name="Rectangle: Rounded Corners 12">
          <a:extLst>
            <a:ext uri="{FF2B5EF4-FFF2-40B4-BE49-F238E27FC236}">
              <a16:creationId xmlns:a16="http://schemas.microsoft.com/office/drawing/2014/main" id="{835B7DAF-5C97-D129-301D-3C0113ABB49D}"/>
            </a:ext>
          </a:extLst>
        </xdr:cNvPr>
        <xdr:cNvSpPr/>
      </xdr:nvSpPr>
      <xdr:spPr>
        <a:xfrm>
          <a:off x="7319826" y="4881919"/>
          <a:ext cx="1464366" cy="1221749"/>
        </a:xfrm>
        <a:prstGeom prst="roundRect">
          <a:avLst>
            <a:gd name="adj" fmla="val 523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373959</xdr:colOff>
      <xdr:row>28</xdr:row>
      <xdr:rowOff>81319</xdr:rowOff>
    </xdr:from>
    <xdr:to>
      <xdr:col>17</xdr:col>
      <xdr:colOff>9525</xdr:colOff>
      <xdr:row>35</xdr:row>
      <xdr:rowOff>102918</xdr:rowOff>
    </xdr:to>
    <xdr:sp macro="" textlink="">
      <xdr:nvSpPr>
        <xdr:cNvPr id="14" name="Rectangle: Rounded Corners 13">
          <a:extLst>
            <a:ext uri="{FF2B5EF4-FFF2-40B4-BE49-F238E27FC236}">
              <a16:creationId xmlns:a16="http://schemas.microsoft.com/office/drawing/2014/main" id="{D2728C18-AA16-569E-CA5D-1B801F7F9C07}"/>
            </a:ext>
          </a:extLst>
        </xdr:cNvPr>
        <xdr:cNvSpPr/>
      </xdr:nvSpPr>
      <xdr:spPr>
        <a:xfrm>
          <a:off x="8908359" y="4881919"/>
          <a:ext cx="1464366" cy="1221749"/>
        </a:xfrm>
        <a:prstGeom prst="roundRect">
          <a:avLst>
            <a:gd name="adj" fmla="val 523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373959</xdr:colOff>
      <xdr:row>20</xdr:row>
      <xdr:rowOff>95250</xdr:rowOff>
    </xdr:from>
    <xdr:to>
      <xdr:col>17</xdr:col>
      <xdr:colOff>9525</xdr:colOff>
      <xdr:row>27</xdr:row>
      <xdr:rowOff>116849</xdr:rowOff>
    </xdr:to>
    <xdr:sp macro="" textlink="">
      <xdr:nvSpPr>
        <xdr:cNvPr id="15" name="Rectangle: Rounded Corners 14">
          <a:extLst>
            <a:ext uri="{FF2B5EF4-FFF2-40B4-BE49-F238E27FC236}">
              <a16:creationId xmlns:a16="http://schemas.microsoft.com/office/drawing/2014/main" id="{4F6C3DAA-6CE1-1E56-CE5B-43BB0F73D3B4}"/>
            </a:ext>
          </a:extLst>
        </xdr:cNvPr>
        <xdr:cNvSpPr/>
      </xdr:nvSpPr>
      <xdr:spPr>
        <a:xfrm>
          <a:off x="8908359" y="3524250"/>
          <a:ext cx="1464366" cy="1221749"/>
        </a:xfrm>
        <a:prstGeom prst="roundRect">
          <a:avLst>
            <a:gd name="adj" fmla="val 523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33200</xdr:colOff>
      <xdr:row>8</xdr:row>
      <xdr:rowOff>132959</xdr:rowOff>
    </xdr:from>
    <xdr:to>
      <xdr:col>17</xdr:col>
      <xdr:colOff>19050</xdr:colOff>
      <xdr:row>18</xdr:row>
      <xdr:rowOff>74459</xdr:rowOff>
    </xdr:to>
    <xdr:sp macro="" textlink="">
      <xdr:nvSpPr>
        <xdr:cNvPr id="17" name="Rectangle: Rounded Corners 16">
          <a:extLst>
            <a:ext uri="{FF2B5EF4-FFF2-40B4-BE49-F238E27FC236}">
              <a16:creationId xmlns:a16="http://schemas.microsoft.com/office/drawing/2014/main" id="{A8C2EDDF-1F3F-5568-2B3E-428E7424AB72}"/>
            </a:ext>
          </a:extLst>
        </xdr:cNvPr>
        <xdr:cNvSpPr/>
      </xdr:nvSpPr>
      <xdr:spPr>
        <a:xfrm>
          <a:off x="7348400" y="1504559"/>
          <a:ext cx="3033850" cy="1656000"/>
        </a:xfrm>
        <a:prstGeom prst="roundRect">
          <a:avLst>
            <a:gd name="adj" fmla="val 868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33200</xdr:colOff>
      <xdr:row>0</xdr:row>
      <xdr:rowOff>66676</xdr:rowOff>
    </xdr:from>
    <xdr:to>
      <xdr:col>17</xdr:col>
      <xdr:colOff>9525</xdr:colOff>
      <xdr:row>8</xdr:row>
      <xdr:rowOff>66676</xdr:rowOff>
    </xdr:to>
    <xdr:sp macro="" textlink="">
      <xdr:nvSpPr>
        <xdr:cNvPr id="18" name="Rectangle: Rounded Corners 17">
          <a:extLst>
            <a:ext uri="{FF2B5EF4-FFF2-40B4-BE49-F238E27FC236}">
              <a16:creationId xmlns:a16="http://schemas.microsoft.com/office/drawing/2014/main" id="{DFF89C45-B456-2355-C135-DAEBA0F79A51}"/>
            </a:ext>
          </a:extLst>
        </xdr:cNvPr>
        <xdr:cNvSpPr/>
      </xdr:nvSpPr>
      <xdr:spPr>
        <a:xfrm>
          <a:off x="7348400" y="66676"/>
          <a:ext cx="3024325" cy="1371600"/>
        </a:xfrm>
        <a:prstGeom prst="roundRect">
          <a:avLst>
            <a:gd name="adj" fmla="val 868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371475</xdr:colOff>
      <xdr:row>20</xdr:row>
      <xdr:rowOff>142875</xdr:rowOff>
    </xdr:from>
    <xdr:to>
      <xdr:col>16</xdr:col>
      <xdr:colOff>76200</xdr:colOff>
      <xdr:row>24</xdr:row>
      <xdr:rowOff>142875</xdr:rowOff>
    </xdr:to>
    <xdr:sp macro="" textlink="">
      <xdr:nvSpPr>
        <xdr:cNvPr id="20" name="TextBox 19">
          <a:extLst>
            <a:ext uri="{FF2B5EF4-FFF2-40B4-BE49-F238E27FC236}">
              <a16:creationId xmlns:a16="http://schemas.microsoft.com/office/drawing/2014/main" id="{A99BA6EB-308D-B2A3-9F2C-520F4D140576}"/>
            </a:ext>
          </a:extLst>
        </xdr:cNvPr>
        <xdr:cNvSpPr txBox="1"/>
      </xdr:nvSpPr>
      <xdr:spPr>
        <a:xfrm>
          <a:off x="8905875" y="3571875"/>
          <a:ext cx="9239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Kulim Park" pitchFamily="2" charset="0"/>
            </a:rPr>
            <a:t>Part</a:t>
          </a:r>
        </a:p>
        <a:p>
          <a:r>
            <a:rPr lang="en-US" sz="1100" b="0">
              <a:solidFill>
                <a:schemeClr val="bg1"/>
              </a:solidFill>
              <a:latin typeface="Kulim Park" pitchFamily="2" charset="0"/>
            </a:rPr>
            <a:t>time employees</a:t>
          </a:r>
        </a:p>
      </xdr:txBody>
    </xdr:sp>
    <xdr:clientData/>
  </xdr:twoCellAnchor>
  <xdr:twoCellAnchor>
    <xdr:from>
      <xdr:col>14</xdr:col>
      <xdr:colOff>352425</xdr:colOff>
      <xdr:row>24</xdr:row>
      <xdr:rowOff>76200</xdr:rowOff>
    </xdr:from>
    <xdr:to>
      <xdr:col>17</xdr:col>
      <xdr:colOff>1</xdr:colOff>
      <xdr:row>27</xdr:row>
      <xdr:rowOff>152400</xdr:rowOff>
    </xdr:to>
    <xdr:sp macro="" textlink="'pivot table'!B11">
      <xdr:nvSpPr>
        <xdr:cNvPr id="22" name="TextBox 21">
          <a:extLst>
            <a:ext uri="{FF2B5EF4-FFF2-40B4-BE49-F238E27FC236}">
              <a16:creationId xmlns:a16="http://schemas.microsoft.com/office/drawing/2014/main" id="{D5AA74DF-3F7E-0409-C357-C35B51C30342}"/>
            </a:ext>
          </a:extLst>
        </xdr:cNvPr>
        <xdr:cNvSpPr txBox="1"/>
      </xdr:nvSpPr>
      <xdr:spPr>
        <a:xfrm>
          <a:off x="8886825" y="4191000"/>
          <a:ext cx="1476376"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967E657-9491-45E5-94E5-6582CE539F3B}" type="TxLink">
            <a:rPr lang="en-US" sz="3200" b="1" i="0" u="none" strike="noStrike">
              <a:solidFill>
                <a:schemeClr val="bg1"/>
              </a:solidFill>
              <a:latin typeface="Aptos Narrow"/>
            </a:rPr>
            <a:pPr algn="r"/>
            <a:t>13</a:t>
          </a:fld>
          <a:endParaRPr lang="en-US" sz="3200" b="1">
            <a:solidFill>
              <a:schemeClr val="bg1"/>
            </a:solidFill>
            <a:latin typeface="Kulim Park" pitchFamily="2" charset="0"/>
          </a:endParaRPr>
        </a:p>
      </xdr:txBody>
    </xdr:sp>
    <xdr:clientData/>
  </xdr:twoCellAnchor>
  <xdr:twoCellAnchor>
    <xdr:from>
      <xdr:col>14</xdr:col>
      <xdr:colOff>371475</xdr:colOff>
      <xdr:row>28</xdr:row>
      <xdr:rowOff>114300</xdr:rowOff>
    </xdr:from>
    <xdr:to>
      <xdr:col>16</xdr:col>
      <xdr:colOff>76200</xdr:colOff>
      <xdr:row>32</xdr:row>
      <xdr:rowOff>114300</xdr:rowOff>
    </xdr:to>
    <xdr:sp macro="" textlink="">
      <xdr:nvSpPr>
        <xdr:cNvPr id="23" name="TextBox 22">
          <a:extLst>
            <a:ext uri="{FF2B5EF4-FFF2-40B4-BE49-F238E27FC236}">
              <a16:creationId xmlns:a16="http://schemas.microsoft.com/office/drawing/2014/main" id="{8B1C519E-C0CF-4D3F-B0B4-F10F8571EA3D}"/>
            </a:ext>
          </a:extLst>
        </xdr:cNvPr>
        <xdr:cNvSpPr txBox="1"/>
      </xdr:nvSpPr>
      <xdr:spPr>
        <a:xfrm>
          <a:off x="8905875" y="4914900"/>
          <a:ext cx="9239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Kulim Park" pitchFamily="2" charset="0"/>
            </a:rPr>
            <a:t>Full</a:t>
          </a:r>
        </a:p>
        <a:p>
          <a:r>
            <a:rPr lang="en-US" sz="1100" b="0">
              <a:solidFill>
                <a:schemeClr val="bg1"/>
              </a:solidFill>
              <a:latin typeface="Kulim Park" pitchFamily="2" charset="0"/>
            </a:rPr>
            <a:t>time employees</a:t>
          </a:r>
        </a:p>
      </xdr:txBody>
    </xdr:sp>
    <xdr:clientData/>
  </xdr:twoCellAnchor>
  <xdr:twoCellAnchor>
    <xdr:from>
      <xdr:col>14</xdr:col>
      <xdr:colOff>352425</xdr:colOff>
      <xdr:row>32</xdr:row>
      <xdr:rowOff>47625</xdr:rowOff>
    </xdr:from>
    <xdr:to>
      <xdr:col>17</xdr:col>
      <xdr:colOff>1</xdr:colOff>
      <xdr:row>35</xdr:row>
      <xdr:rowOff>123825</xdr:rowOff>
    </xdr:to>
    <xdr:sp macro="" textlink="'pivot table'!B10">
      <xdr:nvSpPr>
        <xdr:cNvPr id="24" name="TextBox 23">
          <a:extLst>
            <a:ext uri="{FF2B5EF4-FFF2-40B4-BE49-F238E27FC236}">
              <a16:creationId xmlns:a16="http://schemas.microsoft.com/office/drawing/2014/main" id="{B8209137-59BC-4012-98A7-6670D40C283D}"/>
            </a:ext>
          </a:extLst>
        </xdr:cNvPr>
        <xdr:cNvSpPr txBox="1"/>
      </xdr:nvSpPr>
      <xdr:spPr>
        <a:xfrm>
          <a:off x="8886825" y="5534025"/>
          <a:ext cx="1476376"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2160DD5-0C8F-4F17-A1CC-DA16AA8D2D22}" type="TxLink">
            <a:rPr lang="en-US" sz="3200" b="1" i="0" u="none" strike="noStrike">
              <a:solidFill>
                <a:schemeClr val="bg1"/>
              </a:solidFill>
              <a:latin typeface="Aptos Narrow"/>
              <a:ea typeface="+mn-ea"/>
              <a:cs typeface="+mn-cs"/>
            </a:rPr>
            <a:pPr marL="0" indent="0" algn="r"/>
            <a:t>20</a:t>
          </a:fld>
          <a:endParaRPr lang="en-US" sz="3200" b="1" i="0" u="none" strike="noStrike">
            <a:solidFill>
              <a:schemeClr val="bg1"/>
            </a:solidFill>
            <a:latin typeface="Aptos Narrow"/>
            <a:ea typeface="+mn-ea"/>
            <a:cs typeface="+mn-cs"/>
          </a:endParaRPr>
        </a:p>
      </xdr:txBody>
    </xdr:sp>
    <xdr:clientData/>
  </xdr:twoCellAnchor>
  <xdr:twoCellAnchor>
    <xdr:from>
      <xdr:col>12</xdr:col>
      <xdr:colOff>0</xdr:colOff>
      <xdr:row>28</xdr:row>
      <xdr:rowOff>95250</xdr:rowOff>
    </xdr:from>
    <xdr:to>
      <xdr:col>13</xdr:col>
      <xdr:colOff>314325</xdr:colOff>
      <xdr:row>32</xdr:row>
      <xdr:rowOff>95250</xdr:rowOff>
    </xdr:to>
    <xdr:sp macro="" textlink="">
      <xdr:nvSpPr>
        <xdr:cNvPr id="25" name="TextBox 24">
          <a:extLst>
            <a:ext uri="{FF2B5EF4-FFF2-40B4-BE49-F238E27FC236}">
              <a16:creationId xmlns:a16="http://schemas.microsoft.com/office/drawing/2014/main" id="{1B3AADAE-A403-4221-9FE7-8E0994A9B286}"/>
            </a:ext>
          </a:extLst>
        </xdr:cNvPr>
        <xdr:cNvSpPr txBox="1"/>
      </xdr:nvSpPr>
      <xdr:spPr>
        <a:xfrm>
          <a:off x="7315200" y="4895850"/>
          <a:ext cx="9239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Kulim Park" pitchFamily="2" charset="0"/>
            </a:rPr>
            <a:t>Employees </a:t>
          </a:r>
        </a:p>
        <a:p>
          <a:r>
            <a:rPr lang="en-US" sz="1100" b="0">
              <a:solidFill>
                <a:schemeClr val="bg1"/>
              </a:solidFill>
              <a:latin typeface="Kulim Park" pitchFamily="2" charset="0"/>
            </a:rPr>
            <a:t>with</a:t>
          </a:r>
        </a:p>
        <a:p>
          <a:r>
            <a:rPr lang="en-US" sz="1100" b="0">
              <a:solidFill>
                <a:schemeClr val="bg1"/>
              </a:solidFill>
              <a:latin typeface="Kulim Park" pitchFamily="2" charset="0"/>
            </a:rPr>
            <a:t>contracts</a:t>
          </a:r>
        </a:p>
      </xdr:txBody>
    </xdr:sp>
    <xdr:clientData/>
  </xdr:twoCellAnchor>
  <xdr:twoCellAnchor>
    <xdr:from>
      <xdr:col>11</xdr:col>
      <xdr:colOff>590550</xdr:colOff>
      <xdr:row>32</xdr:row>
      <xdr:rowOff>28575</xdr:rowOff>
    </xdr:from>
    <xdr:to>
      <xdr:col>14</xdr:col>
      <xdr:colOff>238126</xdr:colOff>
      <xdr:row>35</xdr:row>
      <xdr:rowOff>104775</xdr:rowOff>
    </xdr:to>
    <xdr:sp macro="" textlink="'pivot table'!B9">
      <xdr:nvSpPr>
        <xdr:cNvPr id="26" name="TextBox 25">
          <a:extLst>
            <a:ext uri="{FF2B5EF4-FFF2-40B4-BE49-F238E27FC236}">
              <a16:creationId xmlns:a16="http://schemas.microsoft.com/office/drawing/2014/main" id="{5D52B804-3AB2-465E-A7E7-379DB23C7CBC}"/>
            </a:ext>
          </a:extLst>
        </xdr:cNvPr>
        <xdr:cNvSpPr txBox="1"/>
      </xdr:nvSpPr>
      <xdr:spPr>
        <a:xfrm>
          <a:off x="7296150" y="5514975"/>
          <a:ext cx="1476376"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F7FB6F7-D0EA-48F6-BF6A-0397910C447D}" type="TxLink">
            <a:rPr lang="en-US" sz="3200" b="1" i="0" u="none" strike="noStrike">
              <a:solidFill>
                <a:schemeClr val="bg1"/>
              </a:solidFill>
              <a:latin typeface="Aptos Narrow"/>
              <a:ea typeface="+mn-ea"/>
              <a:cs typeface="+mn-cs"/>
            </a:rPr>
            <a:pPr marL="0" indent="0" algn="r"/>
            <a:t>17</a:t>
          </a:fld>
          <a:endParaRPr lang="en-US" sz="3200" b="1" i="0" u="none" strike="noStrike">
            <a:solidFill>
              <a:schemeClr val="bg1"/>
            </a:solidFill>
            <a:latin typeface="Aptos Narrow"/>
            <a:ea typeface="+mn-ea"/>
            <a:cs typeface="+mn-cs"/>
          </a:endParaRPr>
        </a:p>
      </xdr:txBody>
    </xdr:sp>
    <xdr:clientData/>
  </xdr:twoCellAnchor>
  <xdr:twoCellAnchor>
    <xdr:from>
      <xdr:col>7</xdr:col>
      <xdr:colOff>561975</xdr:colOff>
      <xdr:row>26</xdr:row>
      <xdr:rowOff>0</xdr:rowOff>
    </xdr:from>
    <xdr:to>
      <xdr:col>9</xdr:col>
      <xdr:colOff>495300</xdr:colOff>
      <xdr:row>27</xdr:row>
      <xdr:rowOff>76200</xdr:rowOff>
    </xdr:to>
    <xdr:sp macro="" textlink="">
      <xdr:nvSpPr>
        <xdr:cNvPr id="27" name="TextBox 26">
          <a:extLst>
            <a:ext uri="{FF2B5EF4-FFF2-40B4-BE49-F238E27FC236}">
              <a16:creationId xmlns:a16="http://schemas.microsoft.com/office/drawing/2014/main" id="{93A83E44-B999-4336-DF0A-5ADA6365EBC0}"/>
            </a:ext>
          </a:extLst>
        </xdr:cNvPr>
        <xdr:cNvSpPr txBox="1"/>
      </xdr:nvSpPr>
      <xdr:spPr>
        <a:xfrm>
          <a:off x="4829175" y="4457700"/>
          <a:ext cx="11525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Kulim Park" pitchFamily="2" charset="0"/>
            </a:rPr>
            <a:t>Total Salaries</a:t>
          </a:r>
        </a:p>
      </xdr:txBody>
    </xdr:sp>
    <xdr:clientData/>
  </xdr:twoCellAnchor>
  <xdr:twoCellAnchor>
    <xdr:from>
      <xdr:col>0</xdr:col>
      <xdr:colOff>190500</xdr:colOff>
      <xdr:row>27</xdr:row>
      <xdr:rowOff>167640</xdr:rowOff>
    </xdr:from>
    <xdr:to>
      <xdr:col>2</xdr:col>
      <xdr:colOff>123825</xdr:colOff>
      <xdr:row>29</xdr:row>
      <xdr:rowOff>100965</xdr:rowOff>
    </xdr:to>
    <xdr:sp macro="" textlink="">
      <xdr:nvSpPr>
        <xdr:cNvPr id="28" name="TextBox 27">
          <a:extLst>
            <a:ext uri="{FF2B5EF4-FFF2-40B4-BE49-F238E27FC236}">
              <a16:creationId xmlns:a16="http://schemas.microsoft.com/office/drawing/2014/main" id="{3E71C7FD-4558-2B6D-2281-B3BEB807CCA0}"/>
            </a:ext>
          </a:extLst>
        </xdr:cNvPr>
        <xdr:cNvSpPr txBox="1"/>
      </xdr:nvSpPr>
      <xdr:spPr>
        <a:xfrm>
          <a:off x="190500" y="4796790"/>
          <a:ext cx="11525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Kulim Park" pitchFamily="2" charset="0"/>
            </a:rPr>
            <a:t>Branch Office</a:t>
          </a:r>
        </a:p>
      </xdr:txBody>
    </xdr:sp>
    <xdr:clientData/>
  </xdr:twoCellAnchor>
  <xdr:twoCellAnchor>
    <xdr:from>
      <xdr:col>7</xdr:col>
      <xdr:colOff>581025</xdr:colOff>
      <xdr:row>29</xdr:row>
      <xdr:rowOff>1905</xdr:rowOff>
    </xdr:from>
    <xdr:to>
      <xdr:col>9</xdr:col>
      <xdr:colOff>514350</xdr:colOff>
      <xdr:row>30</xdr:row>
      <xdr:rowOff>87630</xdr:rowOff>
    </xdr:to>
    <xdr:sp macro="" textlink="">
      <xdr:nvSpPr>
        <xdr:cNvPr id="29" name="TextBox 28">
          <a:extLst>
            <a:ext uri="{FF2B5EF4-FFF2-40B4-BE49-F238E27FC236}">
              <a16:creationId xmlns:a16="http://schemas.microsoft.com/office/drawing/2014/main" id="{7A2B5B37-8270-2A65-A9D5-60701A839D78}"/>
            </a:ext>
          </a:extLst>
        </xdr:cNvPr>
        <xdr:cNvSpPr txBox="1"/>
      </xdr:nvSpPr>
      <xdr:spPr>
        <a:xfrm>
          <a:off x="4848225" y="4973955"/>
          <a:ext cx="11525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Kulim Park" pitchFamily="2" charset="0"/>
            </a:rPr>
            <a:t>HR</a:t>
          </a:r>
          <a:r>
            <a:rPr lang="en-US" sz="1100" b="0" baseline="0">
              <a:solidFill>
                <a:schemeClr val="bg1"/>
              </a:solidFill>
              <a:latin typeface="Kulim Park" pitchFamily="2" charset="0"/>
            </a:rPr>
            <a:t> Specialists</a:t>
          </a:r>
          <a:endParaRPr lang="en-US" sz="1100" b="0">
            <a:solidFill>
              <a:schemeClr val="bg1"/>
            </a:solidFill>
            <a:latin typeface="Kulim Park" pitchFamily="2" charset="0"/>
          </a:endParaRPr>
        </a:p>
      </xdr:txBody>
    </xdr:sp>
    <xdr:clientData/>
  </xdr:twoCellAnchor>
  <xdr:twoCellAnchor>
    <xdr:from>
      <xdr:col>7</xdr:col>
      <xdr:colOff>581025</xdr:colOff>
      <xdr:row>30</xdr:row>
      <xdr:rowOff>83820</xdr:rowOff>
    </xdr:from>
    <xdr:to>
      <xdr:col>9</xdr:col>
      <xdr:colOff>304800</xdr:colOff>
      <xdr:row>31</xdr:row>
      <xdr:rowOff>169545</xdr:rowOff>
    </xdr:to>
    <xdr:sp macro="" textlink="">
      <xdr:nvSpPr>
        <xdr:cNvPr id="30" name="TextBox 29">
          <a:extLst>
            <a:ext uri="{FF2B5EF4-FFF2-40B4-BE49-F238E27FC236}">
              <a16:creationId xmlns:a16="http://schemas.microsoft.com/office/drawing/2014/main" id="{9E89679F-4392-C024-E8D7-EEC0E8B230DE}"/>
            </a:ext>
          </a:extLst>
        </xdr:cNvPr>
        <xdr:cNvSpPr txBox="1"/>
      </xdr:nvSpPr>
      <xdr:spPr>
        <a:xfrm>
          <a:off x="4848225" y="5227320"/>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Kulim Park" pitchFamily="2" charset="0"/>
            </a:rPr>
            <a:t>Developers</a:t>
          </a:r>
        </a:p>
      </xdr:txBody>
    </xdr:sp>
    <xdr:clientData/>
  </xdr:twoCellAnchor>
  <xdr:twoCellAnchor>
    <xdr:from>
      <xdr:col>7</xdr:col>
      <xdr:colOff>561975</xdr:colOff>
      <xdr:row>33</xdr:row>
      <xdr:rowOff>85725</xdr:rowOff>
    </xdr:from>
    <xdr:to>
      <xdr:col>9</xdr:col>
      <xdr:colOff>114300</xdr:colOff>
      <xdr:row>35</xdr:row>
      <xdr:rowOff>0</xdr:rowOff>
    </xdr:to>
    <xdr:sp macro="" textlink="">
      <xdr:nvSpPr>
        <xdr:cNvPr id="31" name="TextBox 30">
          <a:extLst>
            <a:ext uri="{FF2B5EF4-FFF2-40B4-BE49-F238E27FC236}">
              <a16:creationId xmlns:a16="http://schemas.microsoft.com/office/drawing/2014/main" id="{7F9DF31E-BF3C-E583-0063-2A9226B19CA8}"/>
            </a:ext>
          </a:extLst>
        </xdr:cNvPr>
        <xdr:cNvSpPr txBox="1"/>
      </xdr:nvSpPr>
      <xdr:spPr>
        <a:xfrm>
          <a:off x="4829175" y="5743575"/>
          <a:ext cx="7715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Kulim Park" pitchFamily="2" charset="0"/>
            </a:rPr>
            <a:t>Analysts</a:t>
          </a:r>
        </a:p>
      </xdr:txBody>
    </xdr:sp>
    <xdr:clientData/>
  </xdr:twoCellAnchor>
  <xdr:twoCellAnchor>
    <xdr:from>
      <xdr:col>7</xdr:col>
      <xdr:colOff>571501</xdr:colOff>
      <xdr:row>31</xdr:row>
      <xdr:rowOff>165735</xdr:rowOff>
    </xdr:from>
    <xdr:to>
      <xdr:col>9</xdr:col>
      <xdr:colOff>247651</xdr:colOff>
      <xdr:row>33</xdr:row>
      <xdr:rowOff>89534</xdr:rowOff>
    </xdr:to>
    <xdr:sp macro="" textlink="">
      <xdr:nvSpPr>
        <xdr:cNvPr id="32" name="TextBox 31">
          <a:extLst>
            <a:ext uri="{FF2B5EF4-FFF2-40B4-BE49-F238E27FC236}">
              <a16:creationId xmlns:a16="http://schemas.microsoft.com/office/drawing/2014/main" id="{64783B18-4FC8-C449-690F-9D5861C2B923}"/>
            </a:ext>
          </a:extLst>
        </xdr:cNvPr>
        <xdr:cNvSpPr txBox="1"/>
      </xdr:nvSpPr>
      <xdr:spPr>
        <a:xfrm>
          <a:off x="4838701" y="5480685"/>
          <a:ext cx="895350"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Kulim Park" pitchFamily="2" charset="0"/>
            </a:rPr>
            <a:t>Designers</a:t>
          </a:r>
        </a:p>
      </xdr:txBody>
    </xdr:sp>
    <xdr:clientData/>
  </xdr:twoCellAnchor>
  <xdr:twoCellAnchor>
    <xdr:from>
      <xdr:col>9</xdr:col>
      <xdr:colOff>323851</xdr:colOff>
      <xdr:row>25</xdr:row>
      <xdr:rowOff>152400</xdr:rowOff>
    </xdr:from>
    <xdr:to>
      <xdr:col>11</xdr:col>
      <xdr:colOff>476251</xdr:colOff>
      <xdr:row>27</xdr:row>
      <xdr:rowOff>82832</xdr:rowOff>
    </xdr:to>
    <xdr:sp macro="" textlink="'pivot table'!E15">
      <xdr:nvSpPr>
        <xdr:cNvPr id="41" name="TextBox 40">
          <a:extLst>
            <a:ext uri="{FF2B5EF4-FFF2-40B4-BE49-F238E27FC236}">
              <a16:creationId xmlns:a16="http://schemas.microsoft.com/office/drawing/2014/main" id="{553CFAB5-C04E-44E0-2370-788A4EA43373}"/>
            </a:ext>
          </a:extLst>
        </xdr:cNvPr>
        <xdr:cNvSpPr txBox="1"/>
      </xdr:nvSpPr>
      <xdr:spPr>
        <a:xfrm>
          <a:off x="5810251" y="4438650"/>
          <a:ext cx="1371600" cy="273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90008CA-FEA7-4AA3-AB26-4C5A79CA81B6}" type="TxLink">
            <a:rPr lang="en-US" sz="1400" b="1">
              <a:solidFill>
                <a:srgbClr val="282828"/>
              </a:solidFill>
              <a:latin typeface="Kulim Park" pitchFamily="2" charset="0"/>
              <a:ea typeface="+mn-ea"/>
              <a:cs typeface="+mn-cs"/>
            </a:rPr>
            <a:pPr marL="0" indent="0" algn="r"/>
            <a:t> 3,104,913 </a:t>
          </a:fld>
          <a:endParaRPr lang="en-US" sz="1400" b="1">
            <a:solidFill>
              <a:srgbClr val="282828"/>
            </a:solidFill>
            <a:latin typeface="Kulim Park" pitchFamily="2" charset="0"/>
            <a:ea typeface="+mn-ea"/>
            <a:cs typeface="+mn-cs"/>
          </a:endParaRPr>
        </a:p>
      </xdr:txBody>
    </xdr:sp>
    <xdr:clientData/>
  </xdr:twoCellAnchor>
  <xdr:twoCellAnchor>
    <xdr:from>
      <xdr:col>9</xdr:col>
      <xdr:colOff>590550</xdr:colOff>
      <xdr:row>33</xdr:row>
      <xdr:rowOff>114300</xdr:rowOff>
    </xdr:from>
    <xdr:to>
      <xdr:col>11</xdr:col>
      <xdr:colOff>451350</xdr:colOff>
      <xdr:row>35</xdr:row>
      <xdr:rowOff>23400</xdr:rowOff>
    </xdr:to>
    <xdr:sp macro="" textlink="">
      <xdr:nvSpPr>
        <xdr:cNvPr id="47" name="Rectangle: Rounded Corners 46">
          <a:extLst>
            <a:ext uri="{FF2B5EF4-FFF2-40B4-BE49-F238E27FC236}">
              <a16:creationId xmlns:a16="http://schemas.microsoft.com/office/drawing/2014/main" id="{A83C5F3B-5EFA-7A19-9622-EC5AE8557414}"/>
            </a:ext>
          </a:extLst>
        </xdr:cNvPr>
        <xdr:cNvSpPr/>
      </xdr:nvSpPr>
      <xdr:spPr>
        <a:xfrm>
          <a:off x="6076950" y="5772150"/>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590550</xdr:colOff>
      <xdr:row>31</xdr:row>
      <xdr:rowOff>161925</xdr:rowOff>
    </xdr:from>
    <xdr:to>
      <xdr:col>11</xdr:col>
      <xdr:colOff>451350</xdr:colOff>
      <xdr:row>33</xdr:row>
      <xdr:rowOff>71025</xdr:rowOff>
    </xdr:to>
    <xdr:sp macro="" textlink="">
      <xdr:nvSpPr>
        <xdr:cNvPr id="54" name="Rectangle: Rounded Corners 53">
          <a:extLst>
            <a:ext uri="{FF2B5EF4-FFF2-40B4-BE49-F238E27FC236}">
              <a16:creationId xmlns:a16="http://schemas.microsoft.com/office/drawing/2014/main" id="{6F43B02D-9FCD-4380-4EB9-569BAF7105F9}"/>
            </a:ext>
          </a:extLst>
        </xdr:cNvPr>
        <xdr:cNvSpPr/>
      </xdr:nvSpPr>
      <xdr:spPr>
        <a:xfrm>
          <a:off x="6076950" y="5476875"/>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590550</xdr:colOff>
      <xdr:row>30</xdr:row>
      <xdr:rowOff>76200</xdr:rowOff>
    </xdr:from>
    <xdr:to>
      <xdr:col>11</xdr:col>
      <xdr:colOff>451350</xdr:colOff>
      <xdr:row>31</xdr:row>
      <xdr:rowOff>156750</xdr:rowOff>
    </xdr:to>
    <xdr:sp macro="" textlink="">
      <xdr:nvSpPr>
        <xdr:cNvPr id="55" name="Rectangle: Rounded Corners 54">
          <a:extLst>
            <a:ext uri="{FF2B5EF4-FFF2-40B4-BE49-F238E27FC236}">
              <a16:creationId xmlns:a16="http://schemas.microsoft.com/office/drawing/2014/main" id="{2E553ECE-B423-6015-6974-13ED3C676884}"/>
            </a:ext>
          </a:extLst>
        </xdr:cNvPr>
        <xdr:cNvSpPr/>
      </xdr:nvSpPr>
      <xdr:spPr>
        <a:xfrm>
          <a:off x="6076950" y="5219700"/>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590550</xdr:colOff>
      <xdr:row>29</xdr:row>
      <xdr:rowOff>9525</xdr:rowOff>
    </xdr:from>
    <xdr:to>
      <xdr:col>11</xdr:col>
      <xdr:colOff>451350</xdr:colOff>
      <xdr:row>30</xdr:row>
      <xdr:rowOff>90075</xdr:rowOff>
    </xdr:to>
    <xdr:sp macro="" textlink="">
      <xdr:nvSpPr>
        <xdr:cNvPr id="56" name="Rectangle: Rounded Corners 55">
          <a:extLst>
            <a:ext uri="{FF2B5EF4-FFF2-40B4-BE49-F238E27FC236}">
              <a16:creationId xmlns:a16="http://schemas.microsoft.com/office/drawing/2014/main" id="{2C893854-14F5-CAEB-CF4F-664414D7E324}"/>
            </a:ext>
          </a:extLst>
        </xdr:cNvPr>
        <xdr:cNvSpPr/>
      </xdr:nvSpPr>
      <xdr:spPr>
        <a:xfrm>
          <a:off x="6076950" y="4981575"/>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590550</xdr:colOff>
      <xdr:row>27</xdr:row>
      <xdr:rowOff>76200</xdr:rowOff>
    </xdr:from>
    <xdr:to>
      <xdr:col>11</xdr:col>
      <xdr:colOff>451350</xdr:colOff>
      <xdr:row>28</xdr:row>
      <xdr:rowOff>156750</xdr:rowOff>
    </xdr:to>
    <xdr:sp macro="" textlink="">
      <xdr:nvSpPr>
        <xdr:cNvPr id="57" name="Rectangle: Rounded Corners 56">
          <a:extLst>
            <a:ext uri="{FF2B5EF4-FFF2-40B4-BE49-F238E27FC236}">
              <a16:creationId xmlns:a16="http://schemas.microsoft.com/office/drawing/2014/main" id="{1114F92F-59C2-B463-B253-6E8EAFBB9A2D}"/>
            </a:ext>
          </a:extLst>
        </xdr:cNvPr>
        <xdr:cNvSpPr/>
      </xdr:nvSpPr>
      <xdr:spPr>
        <a:xfrm>
          <a:off x="6076950" y="4705350"/>
          <a:ext cx="1080000" cy="25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57150</xdr:colOff>
      <xdr:row>22</xdr:row>
      <xdr:rowOff>47625</xdr:rowOff>
    </xdr:from>
    <xdr:to>
      <xdr:col>9</xdr:col>
      <xdr:colOff>600075</xdr:colOff>
      <xdr:row>23</xdr:row>
      <xdr:rowOff>123825</xdr:rowOff>
    </xdr:to>
    <xdr:sp macro="" textlink="">
      <xdr:nvSpPr>
        <xdr:cNvPr id="59" name="TextBox 58">
          <a:extLst>
            <a:ext uri="{FF2B5EF4-FFF2-40B4-BE49-F238E27FC236}">
              <a16:creationId xmlns:a16="http://schemas.microsoft.com/office/drawing/2014/main" id="{FA6A4151-FA64-1F34-18E0-70820142C737}"/>
            </a:ext>
          </a:extLst>
        </xdr:cNvPr>
        <xdr:cNvSpPr txBox="1"/>
      </xdr:nvSpPr>
      <xdr:spPr>
        <a:xfrm>
          <a:off x="4933950" y="3819525"/>
          <a:ext cx="11525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E5B244"/>
              </a:solidFill>
              <a:latin typeface="Kulim Park" pitchFamily="2" charset="0"/>
            </a:rPr>
            <a:t>Salaries</a:t>
          </a:r>
        </a:p>
      </xdr:txBody>
    </xdr:sp>
    <xdr:clientData/>
  </xdr:twoCellAnchor>
  <xdr:twoCellAnchor>
    <xdr:from>
      <xdr:col>8</xdr:col>
      <xdr:colOff>57151</xdr:colOff>
      <xdr:row>23</xdr:row>
      <xdr:rowOff>114300</xdr:rowOff>
    </xdr:from>
    <xdr:to>
      <xdr:col>10</xdr:col>
      <xdr:colOff>457201</xdr:colOff>
      <xdr:row>24</xdr:row>
      <xdr:rowOff>161925</xdr:rowOff>
    </xdr:to>
    <xdr:sp macro="" textlink="">
      <xdr:nvSpPr>
        <xdr:cNvPr id="60" name="TextBox 59">
          <a:extLst>
            <a:ext uri="{FF2B5EF4-FFF2-40B4-BE49-F238E27FC236}">
              <a16:creationId xmlns:a16="http://schemas.microsoft.com/office/drawing/2014/main" id="{C8E9BC9F-B701-60A6-5A61-0D287CC26B5F}"/>
            </a:ext>
          </a:extLst>
        </xdr:cNvPr>
        <xdr:cNvSpPr txBox="1"/>
      </xdr:nvSpPr>
      <xdr:spPr>
        <a:xfrm>
          <a:off x="4933951" y="4057650"/>
          <a:ext cx="16192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tx1">
                  <a:lumMod val="50000"/>
                  <a:lumOff val="50000"/>
                </a:schemeClr>
              </a:solidFill>
              <a:latin typeface="Kulim Park" pitchFamily="2" charset="0"/>
            </a:rPr>
            <a:t>Salary amount by job</a:t>
          </a:r>
          <a:r>
            <a:rPr lang="en-US" sz="900" b="0" baseline="0">
              <a:solidFill>
                <a:schemeClr val="tx1">
                  <a:lumMod val="50000"/>
                  <a:lumOff val="50000"/>
                </a:schemeClr>
              </a:solidFill>
              <a:latin typeface="Kulim Park" pitchFamily="2" charset="0"/>
            </a:rPr>
            <a:t> titles</a:t>
          </a:r>
          <a:endParaRPr lang="en-US" sz="900" b="0">
            <a:solidFill>
              <a:schemeClr val="tx1">
                <a:lumMod val="50000"/>
                <a:lumOff val="50000"/>
              </a:schemeClr>
            </a:solidFill>
            <a:latin typeface="Kulim Park" pitchFamily="2" charset="0"/>
          </a:endParaRPr>
        </a:p>
      </xdr:txBody>
    </xdr:sp>
    <xdr:clientData/>
  </xdr:twoCellAnchor>
  <xdr:twoCellAnchor>
    <xdr:from>
      <xdr:col>12</xdr:col>
      <xdr:colOff>0</xdr:colOff>
      <xdr:row>18</xdr:row>
      <xdr:rowOff>85724</xdr:rowOff>
    </xdr:from>
    <xdr:to>
      <xdr:col>16</xdr:col>
      <xdr:colOff>542925</xdr:colOff>
      <xdr:row>20</xdr:row>
      <xdr:rowOff>19049</xdr:rowOff>
    </xdr:to>
    <xdr:sp macro="" textlink="">
      <xdr:nvSpPr>
        <xdr:cNvPr id="61" name="TextBox 60">
          <a:extLst>
            <a:ext uri="{FF2B5EF4-FFF2-40B4-BE49-F238E27FC236}">
              <a16:creationId xmlns:a16="http://schemas.microsoft.com/office/drawing/2014/main" id="{B0A963FF-7AB6-B337-3547-7BD10B0A81C4}"/>
            </a:ext>
          </a:extLst>
        </xdr:cNvPr>
        <xdr:cNvSpPr txBox="1"/>
      </xdr:nvSpPr>
      <xdr:spPr>
        <a:xfrm>
          <a:off x="7315200" y="3171824"/>
          <a:ext cx="29813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5B244"/>
              </a:solidFill>
              <a:latin typeface="Kulim Park" pitchFamily="2" charset="0"/>
            </a:rPr>
            <a:t>Employments Status</a:t>
          </a:r>
          <a:r>
            <a:rPr lang="en-US" sz="1200" b="1" baseline="0">
              <a:solidFill>
                <a:srgbClr val="E5B244"/>
              </a:solidFill>
              <a:latin typeface="Kulim Park" pitchFamily="2" charset="0"/>
            </a:rPr>
            <a:t> BreakDown</a:t>
          </a:r>
          <a:endParaRPr lang="en-US" sz="1200" b="1">
            <a:solidFill>
              <a:srgbClr val="E5B244"/>
            </a:solidFill>
            <a:latin typeface="Kulim Park" pitchFamily="2" charset="0"/>
          </a:endParaRPr>
        </a:p>
      </xdr:txBody>
    </xdr:sp>
    <xdr:clientData/>
  </xdr:twoCellAnchor>
  <xdr:twoCellAnchor>
    <xdr:from>
      <xdr:col>11</xdr:col>
      <xdr:colOff>438149</xdr:colOff>
      <xdr:row>19</xdr:row>
      <xdr:rowOff>114301</xdr:rowOff>
    </xdr:from>
    <xdr:to>
      <xdr:col>14</xdr:col>
      <xdr:colOff>428625</xdr:colOff>
      <xdr:row>28</xdr:row>
      <xdr:rowOff>142877</xdr:rowOff>
    </xdr:to>
    <xdr:graphicFrame macro="">
      <xdr:nvGraphicFramePr>
        <xdr:cNvPr id="62" name="Chart 61">
          <a:extLst>
            <a:ext uri="{FF2B5EF4-FFF2-40B4-BE49-F238E27FC236}">
              <a16:creationId xmlns:a16="http://schemas.microsoft.com/office/drawing/2014/main" id="{0151662B-52C1-47C5-8610-0D167B92A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314325</xdr:colOff>
      <xdr:row>20</xdr:row>
      <xdr:rowOff>152400</xdr:rowOff>
    </xdr:from>
    <xdr:to>
      <xdr:col>16</xdr:col>
      <xdr:colOff>533400</xdr:colOff>
      <xdr:row>22</xdr:row>
      <xdr:rowOff>38100</xdr:rowOff>
    </xdr:to>
    <xdr:sp macro="" textlink="">
      <xdr:nvSpPr>
        <xdr:cNvPr id="63" name="Oval 62">
          <a:extLst>
            <a:ext uri="{FF2B5EF4-FFF2-40B4-BE49-F238E27FC236}">
              <a16:creationId xmlns:a16="http://schemas.microsoft.com/office/drawing/2014/main" id="{95C7EEB1-7A26-55CF-4AC2-62FB6B0E7949}"/>
            </a:ext>
          </a:extLst>
        </xdr:cNvPr>
        <xdr:cNvSpPr/>
      </xdr:nvSpPr>
      <xdr:spPr>
        <a:xfrm>
          <a:off x="10067925" y="3581400"/>
          <a:ext cx="219075" cy="228600"/>
        </a:xfrm>
        <a:prstGeom prst="ellipse">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314325</xdr:colOff>
      <xdr:row>28</xdr:row>
      <xdr:rowOff>123825</xdr:rowOff>
    </xdr:from>
    <xdr:to>
      <xdr:col>16</xdr:col>
      <xdr:colOff>533400</xdr:colOff>
      <xdr:row>30</xdr:row>
      <xdr:rowOff>9525</xdr:rowOff>
    </xdr:to>
    <xdr:sp macro="" textlink="">
      <xdr:nvSpPr>
        <xdr:cNvPr id="64" name="Oval 63">
          <a:extLst>
            <a:ext uri="{FF2B5EF4-FFF2-40B4-BE49-F238E27FC236}">
              <a16:creationId xmlns:a16="http://schemas.microsoft.com/office/drawing/2014/main" id="{74895A6C-FB12-637D-98FD-04B329D06C71}"/>
            </a:ext>
          </a:extLst>
        </xdr:cNvPr>
        <xdr:cNvSpPr/>
      </xdr:nvSpPr>
      <xdr:spPr>
        <a:xfrm>
          <a:off x="10067925" y="4924425"/>
          <a:ext cx="219075" cy="228600"/>
        </a:xfrm>
        <a:prstGeom prst="ellipse">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561975</xdr:colOff>
      <xdr:row>28</xdr:row>
      <xdr:rowOff>123825</xdr:rowOff>
    </xdr:from>
    <xdr:to>
      <xdr:col>14</xdr:col>
      <xdr:colOff>171450</xdr:colOff>
      <xdr:row>30</xdr:row>
      <xdr:rowOff>9525</xdr:rowOff>
    </xdr:to>
    <xdr:sp macro="" textlink="">
      <xdr:nvSpPr>
        <xdr:cNvPr id="65" name="Oval 64">
          <a:extLst>
            <a:ext uri="{FF2B5EF4-FFF2-40B4-BE49-F238E27FC236}">
              <a16:creationId xmlns:a16="http://schemas.microsoft.com/office/drawing/2014/main" id="{6B7AC351-3FF7-844D-926C-B3310242E9A3}"/>
            </a:ext>
          </a:extLst>
        </xdr:cNvPr>
        <xdr:cNvSpPr/>
      </xdr:nvSpPr>
      <xdr:spPr>
        <a:xfrm>
          <a:off x="8486775" y="4924425"/>
          <a:ext cx="219075" cy="228600"/>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333375</xdr:colOff>
      <xdr:row>24</xdr:row>
      <xdr:rowOff>161924</xdr:rowOff>
    </xdr:from>
    <xdr:to>
      <xdr:col>7</xdr:col>
      <xdr:colOff>457200</xdr:colOff>
      <xdr:row>35</xdr:row>
      <xdr:rowOff>171449</xdr:rowOff>
    </xdr:to>
    <xdr:graphicFrame macro="">
      <xdr:nvGraphicFramePr>
        <xdr:cNvPr id="66" name="Chart 65">
          <a:extLst>
            <a:ext uri="{FF2B5EF4-FFF2-40B4-BE49-F238E27FC236}">
              <a16:creationId xmlns:a16="http://schemas.microsoft.com/office/drawing/2014/main" id="{7F66BFA4-B8B5-4DA1-A3B7-8B393A23C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485775</xdr:colOff>
      <xdr:row>21</xdr:row>
      <xdr:rowOff>161925</xdr:rowOff>
    </xdr:from>
    <xdr:to>
      <xdr:col>5</xdr:col>
      <xdr:colOff>419100</xdr:colOff>
      <xdr:row>23</xdr:row>
      <xdr:rowOff>66675</xdr:rowOff>
    </xdr:to>
    <xdr:sp macro="" textlink="">
      <xdr:nvSpPr>
        <xdr:cNvPr id="67" name="TextBox 66">
          <a:extLst>
            <a:ext uri="{FF2B5EF4-FFF2-40B4-BE49-F238E27FC236}">
              <a16:creationId xmlns:a16="http://schemas.microsoft.com/office/drawing/2014/main" id="{432D66F1-16D0-5CC0-B3A8-FE9D9F0CFC0D}"/>
            </a:ext>
          </a:extLst>
        </xdr:cNvPr>
        <xdr:cNvSpPr txBox="1"/>
      </xdr:nvSpPr>
      <xdr:spPr>
        <a:xfrm>
          <a:off x="2314575" y="3762375"/>
          <a:ext cx="11525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E5B244"/>
              </a:solidFill>
              <a:latin typeface="Kulim Park" pitchFamily="2" charset="0"/>
            </a:rPr>
            <a:t>Age Range</a:t>
          </a:r>
        </a:p>
      </xdr:txBody>
    </xdr:sp>
    <xdr:clientData/>
  </xdr:twoCellAnchor>
  <xdr:twoCellAnchor>
    <xdr:from>
      <xdr:col>3</xdr:col>
      <xdr:colOff>476250</xdr:colOff>
      <xdr:row>23</xdr:row>
      <xdr:rowOff>19050</xdr:rowOff>
    </xdr:from>
    <xdr:to>
      <xdr:col>7</xdr:col>
      <xdr:colOff>247649</xdr:colOff>
      <xdr:row>25</xdr:row>
      <xdr:rowOff>133350</xdr:rowOff>
    </xdr:to>
    <xdr:sp macro="" textlink="">
      <xdr:nvSpPr>
        <xdr:cNvPr id="68" name="TextBox 67">
          <a:extLst>
            <a:ext uri="{FF2B5EF4-FFF2-40B4-BE49-F238E27FC236}">
              <a16:creationId xmlns:a16="http://schemas.microsoft.com/office/drawing/2014/main" id="{34308EED-F9BD-42B4-3EEA-988E570DF110}"/>
            </a:ext>
          </a:extLst>
        </xdr:cNvPr>
        <xdr:cNvSpPr txBox="1"/>
      </xdr:nvSpPr>
      <xdr:spPr>
        <a:xfrm>
          <a:off x="2305050" y="3962400"/>
          <a:ext cx="220979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tx1">
                  <a:lumMod val="50000"/>
                  <a:lumOff val="50000"/>
                </a:schemeClr>
              </a:solidFill>
              <a:latin typeface="Kulim Park" pitchFamily="2" charset="0"/>
            </a:rPr>
            <a:t>No. of employees according to age ranges and genders</a:t>
          </a:r>
        </a:p>
      </xdr:txBody>
    </xdr:sp>
    <xdr:clientData/>
  </xdr:twoCellAnchor>
  <xdr:twoCellAnchor>
    <xdr:from>
      <xdr:col>6</xdr:col>
      <xdr:colOff>495300</xdr:colOff>
      <xdr:row>24</xdr:row>
      <xdr:rowOff>0</xdr:rowOff>
    </xdr:from>
    <xdr:to>
      <xdr:col>8</xdr:col>
      <xdr:colOff>47625</xdr:colOff>
      <xdr:row>25</xdr:row>
      <xdr:rowOff>85725</xdr:rowOff>
    </xdr:to>
    <xdr:sp macro="" textlink="">
      <xdr:nvSpPr>
        <xdr:cNvPr id="70" name="TextBox 69">
          <a:extLst>
            <a:ext uri="{FF2B5EF4-FFF2-40B4-BE49-F238E27FC236}">
              <a16:creationId xmlns:a16="http://schemas.microsoft.com/office/drawing/2014/main" id="{1FC5C80C-ABB1-FA12-6CF3-13B31EE2B5CA}"/>
            </a:ext>
          </a:extLst>
        </xdr:cNvPr>
        <xdr:cNvSpPr txBox="1"/>
      </xdr:nvSpPr>
      <xdr:spPr>
        <a:xfrm>
          <a:off x="4152900" y="4114800"/>
          <a:ext cx="7715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Kulim Park" pitchFamily="2" charset="0"/>
            </a:rPr>
            <a:t>Males</a:t>
          </a:r>
        </a:p>
      </xdr:txBody>
    </xdr:sp>
    <xdr:clientData/>
  </xdr:twoCellAnchor>
  <xdr:twoCellAnchor>
    <xdr:from>
      <xdr:col>6</xdr:col>
      <xdr:colOff>478156</xdr:colOff>
      <xdr:row>24</xdr:row>
      <xdr:rowOff>95250</xdr:rowOff>
    </xdr:from>
    <xdr:to>
      <xdr:col>6</xdr:col>
      <xdr:colOff>523875</xdr:colOff>
      <xdr:row>24</xdr:row>
      <xdr:rowOff>142875</xdr:rowOff>
    </xdr:to>
    <xdr:sp macro="" textlink="">
      <xdr:nvSpPr>
        <xdr:cNvPr id="71" name="Oval 70">
          <a:extLst>
            <a:ext uri="{FF2B5EF4-FFF2-40B4-BE49-F238E27FC236}">
              <a16:creationId xmlns:a16="http://schemas.microsoft.com/office/drawing/2014/main" id="{313BC7A1-69AB-6C61-B99F-96834414F0F1}"/>
            </a:ext>
          </a:extLst>
        </xdr:cNvPr>
        <xdr:cNvSpPr/>
      </xdr:nvSpPr>
      <xdr:spPr>
        <a:xfrm>
          <a:off x="4135756" y="4210050"/>
          <a:ext cx="45719" cy="47625"/>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5</xdr:col>
      <xdr:colOff>514351</xdr:colOff>
      <xdr:row>24</xdr:row>
      <xdr:rowOff>1</xdr:rowOff>
    </xdr:from>
    <xdr:to>
      <xdr:col>6</xdr:col>
      <xdr:colOff>495301</xdr:colOff>
      <xdr:row>25</xdr:row>
      <xdr:rowOff>38101</xdr:rowOff>
    </xdr:to>
    <xdr:sp macro="" textlink="">
      <xdr:nvSpPr>
        <xdr:cNvPr id="72" name="TextBox 71">
          <a:extLst>
            <a:ext uri="{FF2B5EF4-FFF2-40B4-BE49-F238E27FC236}">
              <a16:creationId xmlns:a16="http://schemas.microsoft.com/office/drawing/2014/main" id="{AC73E60A-60C8-9324-312B-035DA28240E5}"/>
            </a:ext>
          </a:extLst>
        </xdr:cNvPr>
        <xdr:cNvSpPr txBox="1"/>
      </xdr:nvSpPr>
      <xdr:spPr>
        <a:xfrm>
          <a:off x="3562351" y="4114801"/>
          <a:ext cx="5905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bg1"/>
              </a:solidFill>
              <a:latin typeface="Kulim Park" pitchFamily="2" charset="0"/>
            </a:rPr>
            <a:t>Females</a:t>
          </a:r>
        </a:p>
      </xdr:txBody>
    </xdr:sp>
    <xdr:clientData/>
  </xdr:twoCellAnchor>
  <xdr:twoCellAnchor>
    <xdr:from>
      <xdr:col>5</xdr:col>
      <xdr:colOff>516256</xdr:colOff>
      <xdr:row>24</xdr:row>
      <xdr:rowOff>95250</xdr:rowOff>
    </xdr:from>
    <xdr:to>
      <xdr:col>5</xdr:col>
      <xdr:colOff>561975</xdr:colOff>
      <xdr:row>24</xdr:row>
      <xdr:rowOff>142875</xdr:rowOff>
    </xdr:to>
    <xdr:sp macro="" textlink="">
      <xdr:nvSpPr>
        <xdr:cNvPr id="73" name="Oval 72">
          <a:extLst>
            <a:ext uri="{FF2B5EF4-FFF2-40B4-BE49-F238E27FC236}">
              <a16:creationId xmlns:a16="http://schemas.microsoft.com/office/drawing/2014/main" id="{F9890674-B42B-17AA-A498-503BFFF71E7E}"/>
            </a:ext>
          </a:extLst>
        </xdr:cNvPr>
        <xdr:cNvSpPr/>
      </xdr:nvSpPr>
      <xdr:spPr>
        <a:xfrm>
          <a:off x="3564256" y="4210050"/>
          <a:ext cx="45719" cy="47625"/>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0</xdr:col>
      <xdr:colOff>147805</xdr:colOff>
      <xdr:row>28</xdr:row>
      <xdr:rowOff>47623</xdr:rowOff>
    </xdr:from>
    <xdr:to>
      <xdr:col>2</xdr:col>
      <xdr:colOff>391645</xdr:colOff>
      <xdr:row>31</xdr:row>
      <xdr:rowOff>145921</xdr:rowOff>
    </xdr:to>
    <xdr:graphicFrame macro="">
      <xdr:nvGraphicFramePr>
        <xdr:cNvPr id="74" name="Chart 73">
          <a:extLst>
            <a:ext uri="{FF2B5EF4-FFF2-40B4-BE49-F238E27FC236}">
              <a16:creationId xmlns:a16="http://schemas.microsoft.com/office/drawing/2014/main" id="{7B58BC00-5451-41D2-AD8B-9D4463A5B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142875</xdr:colOff>
      <xdr:row>30</xdr:row>
      <xdr:rowOff>133349</xdr:rowOff>
    </xdr:from>
    <xdr:to>
      <xdr:col>2</xdr:col>
      <xdr:colOff>386715</xdr:colOff>
      <xdr:row>34</xdr:row>
      <xdr:rowOff>60197</xdr:rowOff>
    </xdr:to>
    <xdr:graphicFrame macro="">
      <xdr:nvGraphicFramePr>
        <xdr:cNvPr id="75" name="Chart 74">
          <a:extLst>
            <a:ext uri="{FF2B5EF4-FFF2-40B4-BE49-F238E27FC236}">
              <a16:creationId xmlns:a16="http://schemas.microsoft.com/office/drawing/2014/main" id="{5D81B6CD-3803-41B6-AF0C-6D6B8B67C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149710</xdr:colOff>
      <xdr:row>33</xdr:row>
      <xdr:rowOff>13335</xdr:rowOff>
    </xdr:from>
    <xdr:to>
      <xdr:col>2</xdr:col>
      <xdr:colOff>393550</xdr:colOff>
      <xdr:row>36</xdr:row>
      <xdr:rowOff>111633</xdr:rowOff>
    </xdr:to>
    <xdr:graphicFrame macro="">
      <xdr:nvGraphicFramePr>
        <xdr:cNvPr id="76" name="Chart 75">
          <a:extLst>
            <a:ext uri="{FF2B5EF4-FFF2-40B4-BE49-F238E27FC236}">
              <a16:creationId xmlns:a16="http://schemas.microsoft.com/office/drawing/2014/main" id="{C1C0E71E-3F4F-47EA-A809-7F140FBC5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209550</xdr:colOff>
      <xdr:row>32</xdr:row>
      <xdr:rowOff>160020</xdr:rowOff>
    </xdr:from>
    <xdr:to>
      <xdr:col>1</xdr:col>
      <xdr:colOff>542925</xdr:colOff>
      <xdr:row>34</xdr:row>
      <xdr:rowOff>74295</xdr:rowOff>
    </xdr:to>
    <xdr:sp macro="" textlink="">
      <xdr:nvSpPr>
        <xdr:cNvPr id="79" name="TextBox 78">
          <a:extLst>
            <a:ext uri="{FF2B5EF4-FFF2-40B4-BE49-F238E27FC236}">
              <a16:creationId xmlns:a16="http://schemas.microsoft.com/office/drawing/2014/main" id="{267D65BC-56D4-F7D0-2466-1F229DF93992}"/>
            </a:ext>
          </a:extLst>
        </xdr:cNvPr>
        <xdr:cNvSpPr txBox="1"/>
      </xdr:nvSpPr>
      <xdr:spPr>
        <a:xfrm>
          <a:off x="209550" y="5646420"/>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Kulim Park" pitchFamily="2" charset="0"/>
            </a:rPr>
            <a:t>Remote</a:t>
          </a:r>
        </a:p>
      </xdr:txBody>
    </xdr:sp>
    <xdr:clientData/>
  </xdr:twoCellAnchor>
  <xdr:twoCellAnchor>
    <xdr:from>
      <xdr:col>0</xdr:col>
      <xdr:colOff>200025</xdr:colOff>
      <xdr:row>30</xdr:row>
      <xdr:rowOff>97155</xdr:rowOff>
    </xdr:from>
    <xdr:to>
      <xdr:col>2</xdr:col>
      <xdr:colOff>133350</xdr:colOff>
      <xdr:row>32</xdr:row>
      <xdr:rowOff>11430</xdr:rowOff>
    </xdr:to>
    <xdr:sp macro="" textlink="">
      <xdr:nvSpPr>
        <xdr:cNvPr id="80" name="TextBox 79">
          <a:extLst>
            <a:ext uri="{FF2B5EF4-FFF2-40B4-BE49-F238E27FC236}">
              <a16:creationId xmlns:a16="http://schemas.microsoft.com/office/drawing/2014/main" id="{C10827AB-585E-FA84-E656-45039DED5B25}"/>
            </a:ext>
          </a:extLst>
        </xdr:cNvPr>
        <xdr:cNvSpPr txBox="1"/>
      </xdr:nvSpPr>
      <xdr:spPr>
        <a:xfrm>
          <a:off x="200025" y="5240655"/>
          <a:ext cx="11525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Kulim Park" pitchFamily="2" charset="0"/>
            </a:rPr>
            <a:t>Head Office</a:t>
          </a:r>
        </a:p>
      </xdr:txBody>
    </xdr:sp>
    <xdr:clientData/>
  </xdr:twoCellAnchor>
  <xdr:twoCellAnchor>
    <xdr:from>
      <xdr:col>2</xdr:col>
      <xdr:colOff>295276</xdr:colOff>
      <xdr:row>29</xdr:row>
      <xdr:rowOff>81916</xdr:rowOff>
    </xdr:from>
    <xdr:to>
      <xdr:col>3</xdr:col>
      <xdr:colOff>200026</xdr:colOff>
      <xdr:row>30</xdr:row>
      <xdr:rowOff>142876</xdr:rowOff>
    </xdr:to>
    <xdr:sp macro="" textlink="'pivot table'!L14">
      <xdr:nvSpPr>
        <xdr:cNvPr id="4" name="TextBox 3">
          <a:extLst>
            <a:ext uri="{FF2B5EF4-FFF2-40B4-BE49-F238E27FC236}">
              <a16:creationId xmlns:a16="http://schemas.microsoft.com/office/drawing/2014/main" id="{E876515F-924F-273E-C250-7EDDD88DEDF2}"/>
            </a:ext>
          </a:extLst>
        </xdr:cNvPr>
        <xdr:cNvSpPr txBox="1"/>
      </xdr:nvSpPr>
      <xdr:spPr>
        <a:xfrm>
          <a:off x="1514476" y="5053966"/>
          <a:ext cx="51435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23B5B0-B2BF-4477-842F-1F8BD6B4E119}" type="TxLink">
            <a:rPr lang="en-US" sz="1000" b="1" i="0" u="none" strike="noStrike">
              <a:solidFill>
                <a:schemeClr val="bg1"/>
              </a:solidFill>
              <a:latin typeface="Kulim Park"/>
            </a:rPr>
            <a:pPr/>
            <a:t>46%</a:t>
          </a:fld>
          <a:endParaRPr lang="en-US" sz="1000" b="1">
            <a:solidFill>
              <a:schemeClr val="bg1"/>
            </a:solidFill>
            <a:latin typeface="Kulim Park" pitchFamily="2" charset="0"/>
          </a:endParaRPr>
        </a:p>
      </xdr:txBody>
    </xdr:sp>
    <xdr:clientData/>
  </xdr:twoCellAnchor>
  <xdr:twoCellAnchor>
    <xdr:from>
      <xdr:col>2</xdr:col>
      <xdr:colOff>276225</xdr:colOff>
      <xdr:row>34</xdr:row>
      <xdr:rowOff>26670</xdr:rowOff>
    </xdr:from>
    <xdr:to>
      <xdr:col>4</xdr:col>
      <xdr:colOff>0</xdr:colOff>
      <xdr:row>35</xdr:row>
      <xdr:rowOff>112395</xdr:rowOff>
    </xdr:to>
    <xdr:sp macro="" textlink="'pivot table'!L16">
      <xdr:nvSpPr>
        <xdr:cNvPr id="5" name="TextBox 4">
          <a:extLst>
            <a:ext uri="{FF2B5EF4-FFF2-40B4-BE49-F238E27FC236}">
              <a16:creationId xmlns:a16="http://schemas.microsoft.com/office/drawing/2014/main" id="{185F07D9-0BFA-EA33-418C-A00351B39208}"/>
            </a:ext>
          </a:extLst>
        </xdr:cNvPr>
        <xdr:cNvSpPr txBox="1"/>
      </xdr:nvSpPr>
      <xdr:spPr>
        <a:xfrm>
          <a:off x="1495425" y="5855970"/>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35483BD-E98C-4774-BD9D-E143CF0D9F02}" type="TxLink">
            <a:rPr lang="en-US" sz="1000" b="1" i="0" u="none" strike="noStrike">
              <a:solidFill>
                <a:schemeClr val="bg1"/>
              </a:solidFill>
              <a:latin typeface="Kulim Park"/>
              <a:ea typeface="+mn-ea"/>
              <a:cs typeface="+mn-cs"/>
            </a:rPr>
            <a:pPr marL="0" indent="0"/>
            <a:t>38%</a:t>
          </a:fld>
          <a:endParaRPr lang="en-US" sz="1000" b="1" i="0" u="none" strike="noStrike">
            <a:solidFill>
              <a:schemeClr val="bg1"/>
            </a:solidFill>
            <a:latin typeface="Kulim Park"/>
            <a:ea typeface="+mn-ea"/>
            <a:cs typeface="+mn-cs"/>
          </a:endParaRPr>
        </a:p>
      </xdr:txBody>
    </xdr:sp>
    <xdr:clientData/>
  </xdr:twoCellAnchor>
  <xdr:twoCellAnchor>
    <xdr:from>
      <xdr:col>2</xdr:col>
      <xdr:colOff>295275</xdr:colOff>
      <xdr:row>31</xdr:row>
      <xdr:rowOff>163830</xdr:rowOff>
    </xdr:from>
    <xdr:to>
      <xdr:col>4</xdr:col>
      <xdr:colOff>228600</xdr:colOff>
      <xdr:row>33</xdr:row>
      <xdr:rowOff>78105</xdr:rowOff>
    </xdr:to>
    <xdr:sp macro="" textlink="'pivot table'!L15">
      <xdr:nvSpPr>
        <xdr:cNvPr id="16" name="TextBox 15">
          <a:extLst>
            <a:ext uri="{FF2B5EF4-FFF2-40B4-BE49-F238E27FC236}">
              <a16:creationId xmlns:a16="http://schemas.microsoft.com/office/drawing/2014/main" id="{814851B4-1B85-6210-2EA9-EACB4038BAA6}"/>
            </a:ext>
          </a:extLst>
        </xdr:cNvPr>
        <xdr:cNvSpPr txBox="1"/>
      </xdr:nvSpPr>
      <xdr:spPr>
        <a:xfrm>
          <a:off x="1514475" y="5478780"/>
          <a:ext cx="11525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0BEC7E-970C-4B20-912F-995ED5AA2B49}" type="TxLink">
            <a:rPr lang="en-US" sz="1000" b="1" i="0" u="none" strike="noStrike">
              <a:solidFill>
                <a:schemeClr val="bg1"/>
              </a:solidFill>
              <a:latin typeface="Kulim Park"/>
              <a:ea typeface="+mn-ea"/>
              <a:cs typeface="+mn-cs"/>
            </a:rPr>
            <a:pPr marL="0" indent="0"/>
            <a:t>16%</a:t>
          </a:fld>
          <a:endParaRPr lang="en-US" sz="1000" b="1" i="0" u="none" strike="noStrike">
            <a:solidFill>
              <a:schemeClr val="bg1"/>
            </a:solidFill>
            <a:latin typeface="Kulim Park"/>
            <a:ea typeface="+mn-ea"/>
            <a:cs typeface="+mn-cs"/>
          </a:endParaRPr>
        </a:p>
      </xdr:txBody>
    </xdr:sp>
    <xdr:clientData/>
  </xdr:twoCellAnchor>
  <xdr:twoCellAnchor>
    <xdr:from>
      <xdr:col>0</xdr:col>
      <xdr:colOff>257175</xdr:colOff>
      <xdr:row>25</xdr:row>
      <xdr:rowOff>38100</xdr:rowOff>
    </xdr:from>
    <xdr:to>
      <xdr:col>2</xdr:col>
      <xdr:colOff>476250</xdr:colOff>
      <xdr:row>26</xdr:row>
      <xdr:rowOff>104775</xdr:rowOff>
    </xdr:to>
    <xdr:sp macro="" textlink="">
      <xdr:nvSpPr>
        <xdr:cNvPr id="19" name="TextBox 18">
          <a:extLst>
            <a:ext uri="{FF2B5EF4-FFF2-40B4-BE49-F238E27FC236}">
              <a16:creationId xmlns:a16="http://schemas.microsoft.com/office/drawing/2014/main" id="{28224E24-E858-76CB-7710-A4561BB4BFC1}"/>
            </a:ext>
          </a:extLst>
        </xdr:cNvPr>
        <xdr:cNvSpPr txBox="1"/>
      </xdr:nvSpPr>
      <xdr:spPr>
        <a:xfrm>
          <a:off x="257175" y="4324350"/>
          <a:ext cx="14382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E5B244"/>
              </a:solidFill>
              <a:latin typeface="Kulim Park" pitchFamily="2" charset="0"/>
            </a:rPr>
            <a:t>Work Location</a:t>
          </a:r>
        </a:p>
      </xdr:txBody>
    </xdr:sp>
    <xdr:clientData/>
  </xdr:twoCellAnchor>
  <xdr:twoCellAnchor>
    <xdr:from>
      <xdr:col>0</xdr:col>
      <xdr:colOff>257175</xdr:colOff>
      <xdr:row>26</xdr:row>
      <xdr:rowOff>104775</xdr:rowOff>
    </xdr:from>
    <xdr:to>
      <xdr:col>4</xdr:col>
      <xdr:colOff>28574</xdr:colOff>
      <xdr:row>28</xdr:row>
      <xdr:rowOff>28575</xdr:rowOff>
    </xdr:to>
    <xdr:sp macro="" textlink="">
      <xdr:nvSpPr>
        <xdr:cNvPr id="21" name="TextBox 20">
          <a:extLst>
            <a:ext uri="{FF2B5EF4-FFF2-40B4-BE49-F238E27FC236}">
              <a16:creationId xmlns:a16="http://schemas.microsoft.com/office/drawing/2014/main" id="{1B61A208-448E-E93A-55E0-F16611EE2219}"/>
            </a:ext>
          </a:extLst>
        </xdr:cNvPr>
        <xdr:cNvSpPr txBox="1"/>
      </xdr:nvSpPr>
      <xdr:spPr>
        <a:xfrm>
          <a:off x="257175" y="4562475"/>
          <a:ext cx="22097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tx1">
                  <a:lumMod val="50000"/>
                  <a:lumOff val="50000"/>
                </a:schemeClr>
              </a:solidFill>
              <a:latin typeface="Kulim Park" pitchFamily="2" charset="0"/>
            </a:rPr>
            <a:t>Employees to workplace</a:t>
          </a:r>
        </a:p>
      </xdr:txBody>
    </xdr:sp>
    <xdr:clientData/>
  </xdr:twoCellAnchor>
  <xdr:twoCellAnchor>
    <xdr:from>
      <xdr:col>7</xdr:col>
      <xdr:colOff>561975</xdr:colOff>
      <xdr:row>27</xdr:row>
      <xdr:rowOff>81915</xdr:rowOff>
    </xdr:from>
    <xdr:to>
      <xdr:col>9</xdr:col>
      <xdr:colOff>495300</xdr:colOff>
      <xdr:row>29</xdr:row>
      <xdr:rowOff>15240</xdr:rowOff>
    </xdr:to>
    <xdr:sp macro="" textlink="">
      <xdr:nvSpPr>
        <xdr:cNvPr id="33" name="TextBox 32">
          <a:extLst>
            <a:ext uri="{FF2B5EF4-FFF2-40B4-BE49-F238E27FC236}">
              <a16:creationId xmlns:a16="http://schemas.microsoft.com/office/drawing/2014/main" id="{05726B83-0008-8A4A-4875-7344212033F3}"/>
            </a:ext>
          </a:extLst>
        </xdr:cNvPr>
        <xdr:cNvSpPr txBox="1"/>
      </xdr:nvSpPr>
      <xdr:spPr>
        <a:xfrm>
          <a:off x="4829175" y="4711065"/>
          <a:ext cx="11525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Kulim Park" pitchFamily="2" charset="0"/>
            </a:rPr>
            <a:t>Managers</a:t>
          </a:r>
        </a:p>
      </xdr:txBody>
    </xdr:sp>
    <xdr:clientData/>
  </xdr:twoCellAnchor>
  <xdr:twoCellAnchor>
    <xdr:from>
      <xdr:col>0</xdr:col>
      <xdr:colOff>200025</xdr:colOff>
      <xdr:row>17</xdr:row>
      <xdr:rowOff>154305</xdr:rowOff>
    </xdr:from>
    <xdr:to>
      <xdr:col>2</xdr:col>
      <xdr:colOff>133350</xdr:colOff>
      <xdr:row>19</xdr:row>
      <xdr:rowOff>68580</xdr:rowOff>
    </xdr:to>
    <xdr:sp macro="" textlink="">
      <xdr:nvSpPr>
        <xdr:cNvPr id="34" name="TextBox 33">
          <a:extLst>
            <a:ext uri="{FF2B5EF4-FFF2-40B4-BE49-F238E27FC236}">
              <a16:creationId xmlns:a16="http://schemas.microsoft.com/office/drawing/2014/main" id="{8B2E77B7-1293-0511-AAE1-CF867B6B85F4}"/>
            </a:ext>
          </a:extLst>
        </xdr:cNvPr>
        <xdr:cNvSpPr txBox="1"/>
      </xdr:nvSpPr>
      <xdr:spPr>
        <a:xfrm>
          <a:off x="200025" y="3068955"/>
          <a:ext cx="11525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latin typeface="Kulim Park" pitchFamily="2" charset="0"/>
            </a:rPr>
            <a:t>Design</a:t>
          </a:r>
        </a:p>
      </xdr:txBody>
    </xdr:sp>
    <xdr:clientData/>
  </xdr:twoCellAnchor>
  <xdr:twoCellAnchor>
    <xdr:from>
      <xdr:col>0</xdr:col>
      <xdr:colOff>200025</xdr:colOff>
      <xdr:row>19</xdr:row>
      <xdr:rowOff>64770</xdr:rowOff>
    </xdr:from>
    <xdr:to>
      <xdr:col>1</xdr:col>
      <xdr:colOff>533400</xdr:colOff>
      <xdr:row>20</xdr:row>
      <xdr:rowOff>150495</xdr:rowOff>
    </xdr:to>
    <xdr:sp macro="" textlink="">
      <xdr:nvSpPr>
        <xdr:cNvPr id="35" name="TextBox 34">
          <a:extLst>
            <a:ext uri="{FF2B5EF4-FFF2-40B4-BE49-F238E27FC236}">
              <a16:creationId xmlns:a16="http://schemas.microsoft.com/office/drawing/2014/main" id="{AD76E5FF-409D-98C9-D3A0-9D2B670D16FC}"/>
            </a:ext>
          </a:extLst>
        </xdr:cNvPr>
        <xdr:cNvSpPr txBox="1"/>
      </xdr:nvSpPr>
      <xdr:spPr>
        <a:xfrm>
          <a:off x="200025" y="3322320"/>
          <a:ext cx="942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latin typeface="Kulim Park" pitchFamily="2" charset="0"/>
            </a:rPr>
            <a:t>Excel</a:t>
          </a:r>
        </a:p>
        <a:p>
          <a:pPr algn="l"/>
          <a:endParaRPr lang="en-US" sz="1200" b="0">
            <a:solidFill>
              <a:schemeClr val="bg1"/>
            </a:solidFill>
            <a:latin typeface="Kulim Park" pitchFamily="2" charset="0"/>
          </a:endParaRPr>
        </a:p>
      </xdr:txBody>
    </xdr:sp>
    <xdr:clientData/>
  </xdr:twoCellAnchor>
  <xdr:twoCellAnchor>
    <xdr:from>
      <xdr:col>0</xdr:col>
      <xdr:colOff>180975</xdr:colOff>
      <xdr:row>22</xdr:row>
      <xdr:rowOff>66675</xdr:rowOff>
    </xdr:from>
    <xdr:to>
      <xdr:col>1</xdr:col>
      <xdr:colOff>342900</xdr:colOff>
      <xdr:row>23</xdr:row>
      <xdr:rowOff>152400</xdr:rowOff>
    </xdr:to>
    <xdr:sp macro="" textlink="">
      <xdr:nvSpPr>
        <xdr:cNvPr id="36" name="TextBox 35">
          <a:extLst>
            <a:ext uri="{FF2B5EF4-FFF2-40B4-BE49-F238E27FC236}">
              <a16:creationId xmlns:a16="http://schemas.microsoft.com/office/drawing/2014/main" id="{AA5A6997-C111-3112-86D7-158B8DD2BFA3}"/>
            </a:ext>
          </a:extLst>
        </xdr:cNvPr>
        <xdr:cNvSpPr txBox="1"/>
      </xdr:nvSpPr>
      <xdr:spPr>
        <a:xfrm>
          <a:off x="180975" y="3838575"/>
          <a:ext cx="7715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latin typeface="Kulim Park" pitchFamily="2" charset="0"/>
            </a:rPr>
            <a:t>Python</a:t>
          </a:r>
        </a:p>
      </xdr:txBody>
    </xdr:sp>
    <xdr:clientData/>
  </xdr:twoCellAnchor>
  <xdr:twoCellAnchor>
    <xdr:from>
      <xdr:col>0</xdr:col>
      <xdr:colOff>190501</xdr:colOff>
      <xdr:row>20</xdr:row>
      <xdr:rowOff>146685</xdr:rowOff>
    </xdr:from>
    <xdr:to>
      <xdr:col>2</xdr:col>
      <xdr:colOff>47625</xdr:colOff>
      <xdr:row>22</xdr:row>
      <xdr:rowOff>38100</xdr:rowOff>
    </xdr:to>
    <xdr:sp macro="" textlink="">
      <xdr:nvSpPr>
        <xdr:cNvPr id="37" name="TextBox 36">
          <a:extLst>
            <a:ext uri="{FF2B5EF4-FFF2-40B4-BE49-F238E27FC236}">
              <a16:creationId xmlns:a16="http://schemas.microsoft.com/office/drawing/2014/main" id="{733696F8-A4CB-2BDD-2469-BEADA7B56B82}"/>
            </a:ext>
          </a:extLst>
        </xdr:cNvPr>
        <xdr:cNvSpPr txBox="1"/>
      </xdr:nvSpPr>
      <xdr:spPr>
        <a:xfrm>
          <a:off x="190501" y="3575685"/>
          <a:ext cx="1076324" cy="234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latin typeface="Kulim Park" pitchFamily="2" charset="0"/>
            </a:rPr>
            <a:t>Management</a:t>
          </a:r>
        </a:p>
      </xdr:txBody>
    </xdr:sp>
    <xdr:clientData/>
  </xdr:twoCellAnchor>
  <xdr:twoCellAnchor>
    <xdr:from>
      <xdr:col>0</xdr:col>
      <xdr:colOff>180975</xdr:colOff>
      <xdr:row>16</xdr:row>
      <xdr:rowOff>62865</xdr:rowOff>
    </xdr:from>
    <xdr:to>
      <xdr:col>2</xdr:col>
      <xdr:colOff>333375</xdr:colOff>
      <xdr:row>18</xdr:row>
      <xdr:rowOff>0</xdr:rowOff>
    </xdr:to>
    <xdr:sp macro="" textlink="">
      <xdr:nvSpPr>
        <xdr:cNvPr id="38" name="TextBox 37">
          <a:extLst>
            <a:ext uri="{FF2B5EF4-FFF2-40B4-BE49-F238E27FC236}">
              <a16:creationId xmlns:a16="http://schemas.microsoft.com/office/drawing/2014/main" id="{800F9E32-5335-00D5-9BE3-C2868FB35CE7}"/>
            </a:ext>
          </a:extLst>
        </xdr:cNvPr>
        <xdr:cNvSpPr txBox="1"/>
      </xdr:nvSpPr>
      <xdr:spPr>
        <a:xfrm>
          <a:off x="180975" y="2806065"/>
          <a:ext cx="1371600" cy="280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solidFill>
              <a:latin typeface="Kulim Park" pitchFamily="2" charset="0"/>
            </a:rPr>
            <a:t>Communication</a:t>
          </a:r>
        </a:p>
      </xdr:txBody>
    </xdr:sp>
    <xdr:clientData/>
  </xdr:twoCellAnchor>
  <xdr:twoCellAnchor>
    <xdr:from>
      <xdr:col>2</xdr:col>
      <xdr:colOff>114300</xdr:colOff>
      <xdr:row>18</xdr:row>
      <xdr:rowOff>0</xdr:rowOff>
    </xdr:from>
    <xdr:to>
      <xdr:col>2</xdr:col>
      <xdr:colOff>571500</xdr:colOff>
      <xdr:row>19</xdr:row>
      <xdr:rowOff>123825</xdr:rowOff>
    </xdr:to>
    <xdr:sp macro="" textlink="'pivot table'!X13">
      <xdr:nvSpPr>
        <xdr:cNvPr id="39" name="TextBox 38">
          <a:extLst>
            <a:ext uri="{FF2B5EF4-FFF2-40B4-BE49-F238E27FC236}">
              <a16:creationId xmlns:a16="http://schemas.microsoft.com/office/drawing/2014/main" id="{674A3A3C-30BB-38F8-7ECA-E52660BCEB8B}"/>
            </a:ext>
          </a:extLst>
        </xdr:cNvPr>
        <xdr:cNvSpPr txBox="1"/>
      </xdr:nvSpPr>
      <xdr:spPr>
        <a:xfrm>
          <a:off x="1333500" y="3086100"/>
          <a:ext cx="4572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8337911-7E8D-4BB3-AEB5-90477DF7E646}" type="TxLink">
            <a:rPr lang="en-US" sz="1600" b="1">
              <a:solidFill>
                <a:srgbClr val="E5B244"/>
              </a:solidFill>
              <a:latin typeface="Kulim Park" pitchFamily="2" charset="0"/>
              <a:ea typeface="+mn-ea"/>
              <a:cs typeface="+mn-cs"/>
            </a:rPr>
            <a:pPr marL="0" indent="0" algn="r"/>
            <a:t>11</a:t>
          </a:fld>
          <a:endParaRPr lang="en-US" sz="1600" b="1">
            <a:solidFill>
              <a:srgbClr val="E5B244"/>
            </a:solidFill>
            <a:latin typeface="Kulim Park" pitchFamily="2" charset="0"/>
            <a:ea typeface="+mn-ea"/>
            <a:cs typeface="+mn-cs"/>
          </a:endParaRPr>
        </a:p>
      </xdr:txBody>
    </xdr:sp>
    <xdr:clientData/>
  </xdr:twoCellAnchor>
  <xdr:twoCellAnchor>
    <xdr:from>
      <xdr:col>2</xdr:col>
      <xdr:colOff>238125</xdr:colOff>
      <xdr:row>19</xdr:row>
      <xdr:rowOff>85725</xdr:rowOff>
    </xdr:from>
    <xdr:to>
      <xdr:col>2</xdr:col>
      <xdr:colOff>571500</xdr:colOff>
      <xdr:row>20</xdr:row>
      <xdr:rowOff>140970</xdr:rowOff>
    </xdr:to>
    <xdr:sp macro="" textlink="'pivot table'!X14">
      <xdr:nvSpPr>
        <xdr:cNvPr id="40" name="TextBox 39">
          <a:extLst>
            <a:ext uri="{FF2B5EF4-FFF2-40B4-BE49-F238E27FC236}">
              <a16:creationId xmlns:a16="http://schemas.microsoft.com/office/drawing/2014/main" id="{E7D96D91-1BEA-BE87-4C5D-E7AA7A9061B7}"/>
            </a:ext>
          </a:extLst>
        </xdr:cNvPr>
        <xdr:cNvSpPr txBox="1"/>
      </xdr:nvSpPr>
      <xdr:spPr>
        <a:xfrm>
          <a:off x="1457325" y="3343275"/>
          <a:ext cx="333375"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2DE35FA-5DC9-497C-83A7-46079DE4D9C9}" type="TxLink">
            <a:rPr lang="en-US" sz="1600" b="1">
              <a:solidFill>
                <a:srgbClr val="E5B244"/>
              </a:solidFill>
              <a:latin typeface="Kulim Park" pitchFamily="2" charset="0"/>
              <a:ea typeface="+mn-ea"/>
              <a:cs typeface="+mn-cs"/>
            </a:rPr>
            <a:pPr marL="0" indent="0" algn="r"/>
            <a:t>7</a:t>
          </a:fld>
          <a:endParaRPr lang="en-US" sz="1600" b="1">
            <a:solidFill>
              <a:srgbClr val="E5B244"/>
            </a:solidFill>
            <a:latin typeface="Kulim Park" pitchFamily="2" charset="0"/>
            <a:ea typeface="+mn-ea"/>
            <a:cs typeface="+mn-cs"/>
          </a:endParaRPr>
        </a:p>
      </xdr:txBody>
    </xdr:sp>
    <xdr:clientData/>
  </xdr:twoCellAnchor>
  <xdr:twoCellAnchor>
    <xdr:from>
      <xdr:col>2</xdr:col>
      <xdr:colOff>190500</xdr:colOff>
      <xdr:row>22</xdr:row>
      <xdr:rowOff>85726</xdr:rowOff>
    </xdr:from>
    <xdr:to>
      <xdr:col>2</xdr:col>
      <xdr:colOff>571500</xdr:colOff>
      <xdr:row>24</xdr:row>
      <xdr:rowOff>28576</xdr:rowOff>
    </xdr:to>
    <xdr:sp macro="" textlink="'pivot table'!X16">
      <xdr:nvSpPr>
        <xdr:cNvPr id="48" name="TextBox 47">
          <a:extLst>
            <a:ext uri="{FF2B5EF4-FFF2-40B4-BE49-F238E27FC236}">
              <a16:creationId xmlns:a16="http://schemas.microsoft.com/office/drawing/2014/main" id="{48EC9572-95B5-B10D-1D07-6220FD78B7A7}"/>
            </a:ext>
          </a:extLst>
        </xdr:cNvPr>
        <xdr:cNvSpPr txBox="1"/>
      </xdr:nvSpPr>
      <xdr:spPr>
        <a:xfrm>
          <a:off x="1409700" y="3857626"/>
          <a:ext cx="381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4A29A60-BE73-4DC1-B0CB-89654997E19F}" type="TxLink">
            <a:rPr lang="en-US" sz="1600" b="1">
              <a:solidFill>
                <a:srgbClr val="E5B244"/>
              </a:solidFill>
              <a:latin typeface="Kulim Park" pitchFamily="2" charset="0"/>
              <a:ea typeface="+mn-ea"/>
              <a:cs typeface="+mn-cs"/>
            </a:rPr>
            <a:pPr marL="0" indent="0" algn="r"/>
            <a:t>9</a:t>
          </a:fld>
          <a:endParaRPr lang="en-US" sz="1600" b="1">
            <a:solidFill>
              <a:srgbClr val="E5B244"/>
            </a:solidFill>
            <a:latin typeface="Kulim Park" pitchFamily="2" charset="0"/>
            <a:ea typeface="+mn-ea"/>
            <a:cs typeface="+mn-cs"/>
          </a:endParaRPr>
        </a:p>
      </xdr:txBody>
    </xdr:sp>
    <xdr:clientData/>
  </xdr:twoCellAnchor>
  <xdr:twoCellAnchor>
    <xdr:from>
      <xdr:col>2</xdr:col>
      <xdr:colOff>180975</xdr:colOff>
      <xdr:row>20</xdr:row>
      <xdr:rowOff>161925</xdr:rowOff>
    </xdr:from>
    <xdr:to>
      <xdr:col>2</xdr:col>
      <xdr:colOff>571500</xdr:colOff>
      <xdr:row>22</xdr:row>
      <xdr:rowOff>38100</xdr:rowOff>
    </xdr:to>
    <xdr:sp macro="" textlink="'pivot table'!X15">
      <xdr:nvSpPr>
        <xdr:cNvPr id="49" name="TextBox 48">
          <a:extLst>
            <a:ext uri="{FF2B5EF4-FFF2-40B4-BE49-F238E27FC236}">
              <a16:creationId xmlns:a16="http://schemas.microsoft.com/office/drawing/2014/main" id="{3BFF7B74-82DA-993E-FF87-1F33C23BAAB0}"/>
            </a:ext>
          </a:extLst>
        </xdr:cNvPr>
        <xdr:cNvSpPr txBox="1"/>
      </xdr:nvSpPr>
      <xdr:spPr>
        <a:xfrm>
          <a:off x="1400175" y="3590925"/>
          <a:ext cx="3905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B99DF1C-6D01-4FA6-9C1D-B4C3979472E6}" type="TxLink">
            <a:rPr lang="en-US" sz="1600" b="1">
              <a:solidFill>
                <a:srgbClr val="E5B244"/>
              </a:solidFill>
              <a:latin typeface="Kulim Park" pitchFamily="2" charset="0"/>
              <a:ea typeface="+mn-ea"/>
              <a:cs typeface="+mn-cs"/>
            </a:rPr>
            <a:pPr marL="0" indent="0" algn="r"/>
            <a:t>11</a:t>
          </a:fld>
          <a:endParaRPr lang="en-US" sz="1600" b="1">
            <a:solidFill>
              <a:srgbClr val="E5B244"/>
            </a:solidFill>
            <a:latin typeface="Kulim Park" pitchFamily="2" charset="0"/>
            <a:ea typeface="+mn-ea"/>
            <a:cs typeface="+mn-cs"/>
          </a:endParaRPr>
        </a:p>
      </xdr:txBody>
    </xdr:sp>
    <xdr:clientData/>
  </xdr:twoCellAnchor>
  <xdr:twoCellAnchor>
    <xdr:from>
      <xdr:col>2</xdr:col>
      <xdr:colOff>114300</xdr:colOff>
      <xdr:row>16</xdr:row>
      <xdr:rowOff>66675</xdr:rowOff>
    </xdr:from>
    <xdr:to>
      <xdr:col>2</xdr:col>
      <xdr:colOff>571500</xdr:colOff>
      <xdr:row>18</xdr:row>
      <xdr:rowOff>19050</xdr:rowOff>
    </xdr:to>
    <xdr:sp macro="" textlink="'pivot table'!X12">
      <xdr:nvSpPr>
        <xdr:cNvPr id="50" name="TextBox 49">
          <a:extLst>
            <a:ext uri="{FF2B5EF4-FFF2-40B4-BE49-F238E27FC236}">
              <a16:creationId xmlns:a16="http://schemas.microsoft.com/office/drawing/2014/main" id="{7D0DE437-4115-A1EC-7DEC-E7FAD396B87A}"/>
            </a:ext>
          </a:extLst>
        </xdr:cNvPr>
        <xdr:cNvSpPr txBox="1"/>
      </xdr:nvSpPr>
      <xdr:spPr>
        <a:xfrm>
          <a:off x="1333500" y="2809875"/>
          <a:ext cx="4572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04F006-1047-4E96-9AAE-A10F549E46CA}" type="TxLink">
            <a:rPr lang="en-US" sz="1600" b="1">
              <a:solidFill>
                <a:srgbClr val="E5B244"/>
              </a:solidFill>
              <a:latin typeface="Kulim Park" pitchFamily="2" charset="0"/>
              <a:ea typeface="+mn-ea"/>
              <a:cs typeface="+mn-cs"/>
            </a:rPr>
            <a:pPr marL="0" indent="0" algn="r"/>
            <a:t>12</a:t>
          </a:fld>
          <a:endParaRPr lang="en-US" sz="1600" b="1">
            <a:solidFill>
              <a:srgbClr val="E5B244"/>
            </a:solidFill>
            <a:latin typeface="Kulim Park" pitchFamily="2" charset="0"/>
            <a:ea typeface="+mn-ea"/>
            <a:cs typeface="+mn-cs"/>
          </a:endParaRPr>
        </a:p>
      </xdr:txBody>
    </xdr:sp>
    <xdr:clientData/>
  </xdr:twoCellAnchor>
  <xdr:twoCellAnchor>
    <xdr:from>
      <xdr:col>0</xdr:col>
      <xdr:colOff>228600</xdr:colOff>
      <xdr:row>12</xdr:row>
      <xdr:rowOff>114300</xdr:rowOff>
    </xdr:from>
    <xdr:to>
      <xdr:col>2</xdr:col>
      <xdr:colOff>390525</xdr:colOff>
      <xdr:row>16</xdr:row>
      <xdr:rowOff>57150</xdr:rowOff>
    </xdr:to>
    <xdr:sp macro="" textlink="">
      <xdr:nvSpPr>
        <xdr:cNvPr id="51" name="TextBox 50">
          <a:extLst>
            <a:ext uri="{FF2B5EF4-FFF2-40B4-BE49-F238E27FC236}">
              <a16:creationId xmlns:a16="http://schemas.microsoft.com/office/drawing/2014/main" id="{8F063626-6C1F-0B85-648D-22952B852DB1}"/>
            </a:ext>
          </a:extLst>
        </xdr:cNvPr>
        <xdr:cNvSpPr txBox="1"/>
      </xdr:nvSpPr>
      <xdr:spPr>
        <a:xfrm>
          <a:off x="228600" y="2171700"/>
          <a:ext cx="1381125"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E5B244"/>
              </a:solidFill>
              <a:latin typeface="Kulim Park" pitchFamily="2" charset="0"/>
            </a:rPr>
            <a:t>Skills BreakDown</a:t>
          </a:r>
        </a:p>
      </xdr:txBody>
    </xdr:sp>
    <xdr:clientData/>
  </xdr:twoCellAnchor>
  <xdr:twoCellAnchor editAs="oneCell">
    <xdr:from>
      <xdr:col>0</xdr:col>
      <xdr:colOff>523875</xdr:colOff>
      <xdr:row>7</xdr:row>
      <xdr:rowOff>85724</xdr:rowOff>
    </xdr:from>
    <xdr:to>
      <xdr:col>2</xdr:col>
      <xdr:colOff>400051</xdr:colOff>
      <xdr:row>12</xdr:row>
      <xdr:rowOff>161925</xdr:rowOff>
    </xdr:to>
    <xdr:pic>
      <xdr:nvPicPr>
        <xdr:cNvPr id="77" name="Picture 76">
          <a:extLst>
            <a:ext uri="{FF2B5EF4-FFF2-40B4-BE49-F238E27FC236}">
              <a16:creationId xmlns:a16="http://schemas.microsoft.com/office/drawing/2014/main" id="{3431E3DF-BEAB-7A04-0D33-B47BDA3A5FB6}"/>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backgroundMark x1="29688" y1="15723" x2="21973" y2="24023"/>
                      <a14:backgroundMark x1="21973" y1="24023" x2="20215" y2="70508"/>
                      <a14:backgroundMark x1="20215" y1="70508" x2="24121" y2="75293"/>
                      <a14:backgroundMark x1="24121" y1="75293" x2="54199" y2="79199"/>
                      <a14:backgroundMark x1="54199" y1="79199" x2="73535" y2="78027"/>
                      <a14:backgroundMark x1="73535" y1="78027" x2="83691" y2="72168"/>
                      <a14:backgroundMark x1="83691" y1="72168" x2="76270" y2="48340"/>
                      <a14:backgroundMark x1="76270" y1="48340" x2="75098" y2="20117"/>
                      <a14:backgroundMark x1="75098" y1="20117" x2="33203" y2="13965"/>
                      <a14:backgroundMark x1="33203" y1="13965" x2="28223" y2="15723"/>
                    </a14:backgroundRemoval>
                  </a14:imgEffect>
                </a14:imgLayer>
              </a14:imgProps>
            </a:ext>
            <a:ext uri="{28A0092B-C50C-407E-A947-70E740481C1C}">
              <a14:useLocalDpi xmlns:a14="http://schemas.microsoft.com/office/drawing/2010/main" val="0"/>
            </a:ext>
          </a:extLst>
        </a:blip>
        <a:srcRect l="22059" t="27586" r="21568" b="24138"/>
        <a:stretch>
          <a:fillRect/>
        </a:stretch>
      </xdr:blipFill>
      <xdr:spPr>
        <a:xfrm>
          <a:off x="523875" y="1285874"/>
          <a:ext cx="1095376" cy="933451"/>
        </a:xfrm>
        <a:prstGeom prst="rect">
          <a:avLst/>
        </a:prstGeom>
      </xdr:spPr>
    </xdr:pic>
    <xdr:clientData/>
  </xdr:twoCellAnchor>
  <xdr:twoCellAnchor>
    <xdr:from>
      <xdr:col>3</xdr:col>
      <xdr:colOff>319088</xdr:colOff>
      <xdr:row>9</xdr:row>
      <xdr:rowOff>104775</xdr:rowOff>
    </xdr:from>
    <xdr:to>
      <xdr:col>5</xdr:col>
      <xdr:colOff>4763</xdr:colOff>
      <xdr:row>13</xdr:row>
      <xdr:rowOff>9525</xdr:rowOff>
    </xdr:to>
    <xdr:sp macro="" textlink="'pivot table'!H21">
      <xdr:nvSpPr>
        <xdr:cNvPr id="78" name="TextBox 77">
          <a:extLst>
            <a:ext uri="{FF2B5EF4-FFF2-40B4-BE49-F238E27FC236}">
              <a16:creationId xmlns:a16="http://schemas.microsoft.com/office/drawing/2014/main" id="{F13ABEB5-E18C-F13F-8E71-BEF1E94D3635}"/>
            </a:ext>
          </a:extLst>
        </xdr:cNvPr>
        <xdr:cNvSpPr txBox="1"/>
      </xdr:nvSpPr>
      <xdr:spPr>
        <a:xfrm>
          <a:off x="2147888" y="1647825"/>
          <a:ext cx="904875"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6339674-30FA-4E09-9228-3F4F0A1532F8}" type="TxLink">
            <a:rPr lang="en-US" sz="4000" b="1" i="0" u="none" strike="noStrike">
              <a:solidFill>
                <a:schemeClr val="bg1"/>
              </a:solidFill>
              <a:latin typeface="Kulim Park"/>
            </a:rPr>
            <a:pPr algn="r"/>
            <a:t>50</a:t>
          </a:fld>
          <a:endParaRPr lang="en-US" sz="4000" b="1">
            <a:solidFill>
              <a:schemeClr val="bg1"/>
            </a:solidFill>
            <a:latin typeface="Kulim Park" pitchFamily="2" charset="0"/>
          </a:endParaRPr>
        </a:p>
      </xdr:txBody>
    </xdr:sp>
    <xdr:clientData/>
  </xdr:twoCellAnchor>
  <xdr:twoCellAnchor>
    <xdr:from>
      <xdr:col>3</xdr:col>
      <xdr:colOff>461963</xdr:colOff>
      <xdr:row>12</xdr:row>
      <xdr:rowOff>152400</xdr:rowOff>
    </xdr:from>
    <xdr:to>
      <xdr:col>6</xdr:col>
      <xdr:colOff>33338</xdr:colOff>
      <xdr:row>14</xdr:row>
      <xdr:rowOff>19050</xdr:rowOff>
    </xdr:to>
    <xdr:sp macro="" textlink="">
      <xdr:nvSpPr>
        <xdr:cNvPr id="81" name="TextBox 80">
          <a:extLst>
            <a:ext uri="{FF2B5EF4-FFF2-40B4-BE49-F238E27FC236}">
              <a16:creationId xmlns:a16="http://schemas.microsoft.com/office/drawing/2014/main" id="{BDAD3186-4AB0-1BC9-B5D2-612F9FC93109}"/>
            </a:ext>
          </a:extLst>
        </xdr:cNvPr>
        <xdr:cNvSpPr txBox="1"/>
      </xdr:nvSpPr>
      <xdr:spPr>
        <a:xfrm>
          <a:off x="2290763" y="2209800"/>
          <a:ext cx="14001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latin typeface="Kulim Park" pitchFamily="2" charset="0"/>
            </a:rPr>
            <a:t>Total Employees</a:t>
          </a:r>
        </a:p>
      </xdr:txBody>
    </xdr:sp>
    <xdr:clientData/>
  </xdr:twoCellAnchor>
  <xdr:twoCellAnchor>
    <xdr:from>
      <xdr:col>3</xdr:col>
      <xdr:colOff>604838</xdr:colOff>
      <xdr:row>7</xdr:row>
      <xdr:rowOff>66675</xdr:rowOff>
    </xdr:from>
    <xdr:to>
      <xdr:col>6</xdr:col>
      <xdr:colOff>385763</xdr:colOff>
      <xdr:row>8</xdr:row>
      <xdr:rowOff>161925</xdr:rowOff>
    </xdr:to>
    <xdr:sp macro="" textlink="">
      <xdr:nvSpPr>
        <xdr:cNvPr id="82" name="TextBox 81">
          <a:extLst>
            <a:ext uri="{FF2B5EF4-FFF2-40B4-BE49-F238E27FC236}">
              <a16:creationId xmlns:a16="http://schemas.microsoft.com/office/drawing/2014/main" id="{77E452EC-B915-6B05-47B7-1F8CC726D8CC}"/>
            </a:ext>
          </a:extLst>
        </xdr:cNvPr>
        <xdr:cNvSpPr txBox="1"/>
      </xdr:nvSpPr>
      <xdr:spPr>
        <a:xfrm>
          <a:off x="2433638" y="1266825"/>
          <a:ext cx="1609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E5B244"/>
              </a:solidFill>
              <a:latin typeface="Kulim Park" pitchFamily="2" charset="0"/>
            </a:rPr>
            <a:t>Employees Number</a:t>
          </a:r>
        </a:p>
      </xdr:txBody>
    </xdr:sp>
    <xdr:clientData/>
  </xdr:twoCellAnchor>
  <xdr:twoCellAnchor editAs="oneCell">
    <xdr:from>
      <xdr:col>6</xdr:col>
      <xdr:colOff>254775</xdr:colOff>
      <xdr:row>8</xdr:row>
      <xdr:rowOff>45225</xdr:rowOff>
    </xdr:from>
    <xdr:to>
      <xdr:col>7</xdr:col>
      <xdr:colOff>559575</xdr:colOff>
      <xdr:row>13</xdr:row>
      <xdr:rowOff>102375</xdr:rowOff>
    </xdr:to>
    <xdr:pic>
      <xdr:nvPicPr>
        <xdr:cNvPr id="88" name="Graphic 87" descr="Office worker male outline">
          <a:extLst>
            <a:ext uri="{FF2B5EF4-FFF2-40B4-BE49-F238E27FC236}">
              <a16:creationId xmlns:a16="http://schemas.microsoft.com/office/drawing/2014/main" id="{CF972F00-B0CF-A443-2AAD-3F7EDE5A8DB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912375" y="1416825"/>
          <a:ext cx="914400" cy="914400"/>
        </a:xfrm>
        <a:prstGeom prst="rect">
          <a:avLst/>
        </a:prstGeom>
      </xdr:spPr>
    </xdr:pic>
    <xdr:clientData/>
  </xdr:twoCellAnchor>
  <xdr:twoCellAnchor editAs="oneCell">
    <xdr:from>
      <xdr:col>5</xdr:col>
      <xdr:colOff>404775</xdr:colOff>
      <xdr:row>8</xdr:row>
      <xdr:rowOff>23775</xdr:rowOff>
    </xdr:from>
    <xdr:to>
      <xdr:col>7</xdr:col>
      <xdr:colOff>99975</xdr:colOff>
      <xdr:row>13</xdr:row>
      <xdr:rowOff>80925</xdr:rowOff>
    </xdr:to>
    <xdr:pic>
      <xdr:nvPicPr>
        <xdr:cNvPr id="90" name="Graphic 89" descr="Office worker female with solid fill">
          <a:extLst>
            <a:ext uri="{FF2B5EF4-FFF2-40B4-BE49-F238E27FC236}">
              <a16:creationId xmlns:a16="http://schemas.microsoft.com/office/drawing/2014/main" id="{17380CA4-8F01-E51D-05F5-75DA2322BF8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452775" y="1395375"/>
          <a:ext cx="914400" cy="914400"/>
        </a:xfrm>
        <a:prstGeom prst="rect">
          <a:avLst/>
        </a:prstGeom>
      </xdr:spPr>
    </xdr:pic>
    <xdr:clientData/>
  </xdr:twoCellAnchor>
  <xdr:twoCellAnchor>
    <xdr:from>
      <xdr:col>4</xdr:col>
      <xdr:colOff>14288</xdr:colOff>
      <xdr:row>14</xdr:row>
      <xdr:rowOff>142875</xdr:rowOff>
    </xdr:from>
    <xdr:to>
      <xdr:col>5</xdr:col>
      <xdr:colOff>47625</xdr:colOff>
      <xdr:row>16</xdr:row>
      <xdr:rowOff>57150</xdr:rowOff>
    </xdr:to>
    <xdr:sp macro="" textlink="">
      <xdr:nvSpPr>
        <xdr:cNvPr id="93" name="TextBox 92">
          <a:extLst>
            <a:ext uri="{FF2B5EF4-FFF2-40B4-BE49-F238E27FC236}">
              <a16:creationId xmlns:a16="http://schemas.microsoft.com/office/drawing/2014/main" id="{C0332A4B-1B61-C792-A86E-CF384421544C}"/>
            </a:ext>
          </a:extLst>
        </xdr:cNvPr>
        <xdr:cNvSpPr txBox="1"/>
      </xdr:nvSpPr>
      <xdr:spPr>
        <a:xfrm>
          <a:off x="2452688" y="2543175"/>
          <a:ext cx="642937"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E5B244"/>
              </a:solidFill>
              <a:latin typeface="Kulim Park" pitchFamily="2" charset="0"/>
            </a:rPr>
            <a:t>Males</a:t>
          </a:r>
        </a:p>
      </xdr:txBody>
    </xdr:sp>
    <xdr:clientData/>
  </xdr:twoCellAnchor>
  <xdr:twoCellAnchor>
    <xdr:from>
      <xdr:col>5</xdr:col>
      <xdr:colOff>566739</xdr:colOff>
      <xdr:row>14</xdr:row>
      <xdr:rowOff>152400</xdr:rowOff>
    </xdr:from>
    <xdr:to>
      <xdr:col>7</xdr:col>
      <xdr:colOff>342901</xdr:colOff>
      <xdr:row>16</xdr:row>
      <xdr:rowOff>114299</xdr:rowOff>
    </xdr:to>
    <xdr:sp macro="" textlink="">
      <xdr:nvSpPr>
        <xdr:cNvPr id="94" name="TextBox 93">
          <a:extLst>
            <a:ext uri="{FF2B5EF4-FFF2-40B4-BE49-F238E27FC236}">
              <a16:creationId xmlns:a16="http://schemas.microsoft.com/office/drawing/2014/main" id="{6AF789F1-0DB3-1DE8-5BF9-2CCDBA2310E7}"/>
            </a:ext>
          </a:extLst>
        </xdr:cNvPr>
        <xdr:cNvSpPr txBox="1"/>
      </xdr:nvSpPr>
      <xdr:spPr>
        <a:xfrm>
          <a:off x="3614739" y="2552700"/>
          <a:ext cx="995362"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E5B244"/>
              </a:solidFill>
              <a:latin typeface="Kulim Park" pitchFamily="2" charset="0"/>
            </a:rPr>
            <a:t>Females</a:t>
          </a:r>
        </a:p>
      </xdr:txBody>
    </xdr:sp>
    <xdr:clientData/>
  </xdr:twoCellAnchor>
  <xdr:twoCellAnchor>
    <xdr:from>
      <xdr:col>5</xdr:col>
      <xdr:colOff>280851</xdr:colOff>
      <xdr:row>15</xdr:row>
      <xdr:rowOff>57151</xdr:rowOff>
    </xdr:from>
    <xdr:to>
      <xdr:col>7</xdr:col>
      <xdr:colOff>409575</xdr:colOff>
      <xdr:row>22</xdr:row>
      <xdr:rowOff>1</xdr:rowOff>
    </xdr:to>
    <xdr:graphicFrame macro="">
      <xdr:nvGraphicFramePr>
        <xdr:cNvPr id="95" name="Chart 94">
          <a:extLst>
            <a:ext uri="{FF2B5EF4-FFF2-40B4-BE49-F238E27FC236}">
              <a16:creationId xmlns:a16="http://schemas.microsoft.com/office/drawing/2014/main" id="{96A2B9A5-0934-4481-9568-4A103F049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304801</xdr:colOff>
      <xdr:row>15</xdr:row>
      <xdr:rowOff>57150</xdr:rowOff>
    </xdr:from>
    <xdr:to>
      <xdr:col>5</xdr:col>
      <xdr:colOff>429769</xdr:colOff>
      <xdr:row>22</xdr:row>
      <xdr:rowOff>0</xdr:rowOff>
    </xdr:to>
    <xdr:graphicFrame macro="">
      <xdr:nvGraphicFramePr>
        <xdr:cNvPr id="96" name="Chart 95">
          <a:extLst>
            <a:ext uri="{FF2B5EF4-FFF2-40B4-BE49-F238E27FC236}">
              <a16:creationId xmlns:a16="http://schemas.microsoft.com/office/drawing/2014/main" id="{6E815888-2E73-487B-B65E-B2AC5B9FC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114301</xdr:colOff>
      <xdr:row>17</xdr:row>
      <xdr:rowOff>148591</xdr:rowOff>
    </xdr:from>
    <xdr:to>
      <xdr:col>5</xdr:col>
      <xdr:colOff>19051</xdr:colOff>
      <xdr:row>19</xdr:row>
      <xdr:rowOff>38101</xdr:rowOff>
    </xdr:to>
    <xdr:sp macro="" textlink="'pivot table'!$I$19">
      <xdr:nvSpPr>
        <xdr:cNvPr id="99" name="TextBox 98">
          <a:extLst>
            <a:ext uri="{FF2B5EF4-FFF2-40B4-BE49-F238E27FC236}">
              <a16:creationId xmlns:a16="http://schemas.microsoft.com/office/drawing/2014/main" id="{C9DD547F-E244-4529-B92D-A9ADFA9E27C6}"/>
            </a:ext>
          </a:extLst>
        </xdr:cNvPr>
        <xdr:cNvSpPr txBox="1"/>
      </xdr:nvSpPr>
      <xdr:spPr>
        <a:xfrm>
          <a:off x="2552701" y="3063241"/>
          <a:ext cx="51435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361905-BB2A-480A-B0FE-AC9F903D77A6}" type="TxLink">
            <a:rPr lang="en-US" sz="1400" b="1" i="0" u="none" strike="noStrike">
              <a:solidFill>
                <a:schemeClr val="bg1"/>
              </a:solidFill>
              <a:latin typeface="Aptos Narrow"/>
            </a:rPr>
            <a:pPr algn="ctr"/>
            <a:t>48%</a:t>
          </a:fld>
          <a:endParaRPr lang="en-US" sz="1400" b="1">
            <a:solidFill>
              <a:schemeClr val="bg1"/>
            </a:solidFill>
            <a:latin typeface="Kulim Park" pitchFamily="2" charset="0"/>
          </a:endParaRPr>
        </a:p>
      </xdr:txBody>
    </xdr:sp>
    <xdr:clientData/>
  </xdr:twoCellAnchor>
  <xdr:twoCellAnchor>
    <xdr:from>
      <xdr:col>6</xdr:col>
      <xdr:colOff>95251</xdr:colOff>
      <xdr:row>17</xdr:row>
      <xdr:rowOff>139066</xdr:rowOff>
    </xdr:from>
    <xdr:to>
      <xdr:col>7</xdr:col>
      <xdr:colOff>1</xdr:colOff>
      <xdr:row>19</xdr:row>
      <xdr:rowOff>28576</xdr:rowOff>
    </xdr:to>
    <xdr:sp macro="" textlink="'pivot table'!$I$20">
      <xdr:nvSpPr>
        <xdr:cNvPr id="100" name="TextBox 99">
          <a:extLst>
            <a:ext uri="{FF2B5EF4-FFF2-40B4-BE49-F238E27FC236}">
              <a16:creationId xmlns:a16="http://schemas.microsoft.com/office/drawing/2014/main" id="{5A103A02-E455-E307-042B-F52DF1DD0DD1}"/>
            </a:ext>
          </a:extLst>
        </xdr:cNvPr>
        <xdr:cNvSpPr txBox="1"/>
      </xdr:nvSpPr>
      <xdr:spPr>
        <a:xfrm>
          <a:off x="3752851" y="3053716"/>
          <a:ext cx="51435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73A25C-A51E-46EF-AF4D-795943852BFF}" type="TxLink">
            <a:rPr lang="en-US" sz="1400" b="1" i="0" u="none" strike="noStrike">
              <a:solidFill>
                <a:schemeClr val="bg1"/>
              </a:solidFill>
              <a:latin typeface="Aptos Narrow"/>
              <a:ea typeface="+mn-ea"/>
              <a:cs typeface="+mn-cs"/>
            </a:rPr>
            <a:pPr marL="0" indent="0" algn="ctr"/>
            <a:t>52%</a:t>
          </a:fld>
          <a:endParaRPr lang="en-US" sz="1400" b="1" i="0" u="none" strike="noStrike">
            <a:solidFill>
              <a:schemeClr val="bg1"/>
            </a:solidFill>
            <a:latin typeface="Aptos Narrow"/>
            <a:ea typeface="+mn-ea"/>
            <a:cs typeface="+mn-cs"/>
          </a:endParaRPr>
        </a:p>
      </xdr:txBody>
    </xdr:sp>
    <xdr:clientData/>
  </xdr:twoCellAnchor>
  <xdr:twoCellAnchor>
    <xdr:from>
      <xdr:col>7</xdr:col>
      <xdr:colOff>438150</xdr:colOff>
      <xdr:row>9</xdr:row>
      <xdr:rowOff>85726</xdr:rowOff>
    </xdr:from>
    <xdr:to>
      <xdr:col>11</xdr:col>
      <xdr:colOff>600075</xdr:colOff>
      <xdr:row>21</xdr:row>
      <xdr:rowOff>85724</xdr:rowOff>
    </xdr:to>
    <xdr:graphicFrame macro="">
      <xdr:nvGraphicFramePr>
        <xdr:cNvPr id="101" name="Chart 100">
          <a:extLst>
            <a:ext uri="{FF2B5EF4-FFF2-40B4-BE49-F238E27FC236}">
              <a16:creationId xmlns:a16="http://schemas.microsoft.com/office/drawing/2014/main" id="{0F2D9285-6ADC-4C75-99A1-6C6DA9467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76200</xdr:colOff>
      <xdr:row>7</xdr:row>
      <xdr:rowOff>76200</xdr:rowOff>
    </xdr:from>
    <xdr:to>
      <xdr:col>10</xdr:col>
      <xdr:colOff>247650</xdr:colOff>
      <xdr:row>8</xdr:row>
      <xdr:rowOff>123825</xdr:rowOff>
    </xdr:to>
    <xdr:sp macro="" textlink="">
      <xdr:nvSpPr>
        <xdr:cNvPr id="108" name="TextBox 107">
          <a:extLst>
            <a:ext uri="{FF2B5EF4-FFF2-40B4-BE49-F238E27FC236}">
              <a16:creationId xmlns:a16="http://schemas.microsoft.com/office/drawing/2014/main" id="{94519927-F400-42A3-530C-5693198E7D68}"/>
            </a:ext>
          </a:extLst>
        </xdr:cNvPr>
        <xdr:cNvSpPr txBox="1"/>
      </xdr:nvSpPr>
      <xdr:spPr>
        <a:xfrm>
          <a:off x="4953000" y="1276350"/>
          <a:ext cx="13906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E5B244"/>
              </a:solidFill>
              <a:latin typeface="Kulim Park" pitchFamily="2" charset="0"/>
            </a:rPr>
            <a:t>Leave Tracking</a:t>
          </a:r>
        </a:p>
      </xdr:txBody>
    </xdr:sp>
    <xdr:clientData/>
  </xdr:twoCellAnchor>
  <xdr:twoCellAnchor>
    <xdr:from>
      <xdr:col>8</xdr:col>
      <xdr:colOff>76201</xdr:colOff>
      <xdr:row>8</xdr:row>
      <xdr:rowOff>142875</xdr:rowOff>
    </xdr:from>
    <xdr:to>
      <xdr:col>10</xdr:col>
      <xdr:colOff>476251</xdr:colOff>
      <xdr:row>10</xdr:row>
      <xdr:rowOff>19050</xdr:rowOff>
    </xdr:to>
    <xdr:sp macro="" textlink="">
      <xdr:nvSpPr>
        <xdr:cNvPr id="109" name="TextBox 108">
          <a:extLst>
            <a:ext uri="{FF2B5EF4-FFF2-40B4-BE49-F238E27FC236}">
              <a16:creationId xmlns:a16="http://schemas.microsoft.com/office/drawing/2014/main" id="{A348DE37-C665-C257-CBFD-3B4CB50B3EF9}"/>
            </a:ext>
          </a:extLst>
        </xdr:cNvPr>
        <xdr:cNvSpPr txBox="1"/>
      </xdr:nvSpPr>
      <xdr:spPr>
        <a:xfrm>
          <a:off x="4953001" y="1514475"/>
          <a:ext cx="16192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tx1">
                  <a:lumMod val="50000"/>
                  <a:lumOff val="50000"/>
                </a:schemeClr>
              </a:solidFill>
              <a:latin typeface="Kulim Park" pitchFamily="2" charset="0"/>
            </a:rPr>
            <a:t>Leave</a:t>
          </a:r>
          <a:r>
            <a:rPr lang="en-US" sz="900" b="0" baseline="0">
              <a:solidFill>
                <a:schemeClr val="tx1">
                  <a:lumMod val="50000"/>
                  <a:lumOff val="50000"/>
                </a:schemeClr>
              </a:solidFill>
              <a:latin typeface="Kulim Park" pitchFamily="2" charset="0"/>
            </a:rPr>
            <a:t> taken by job title</a:t>
          </a:r>
          <a:endParaRPr lang="en-US" sz="900" b="0">
            <a:solidFill>
              <a:schemeClr val="tx1">
                <a:lumMod val="50000"/>
                <a:lumOff val="50000"/>
              </a:schemeClr>
            </a:solidFill>
            <a:latin typeface="Kulim Park" pitchFamily="2" charset="0"/>
          </a:endParaRPr>
        </a:p>
      </xdr:txBody>
    </xdr:sp>
    <xdr:clientData/>
  </xdr:twoCellAnchor>
  <xdr:twoCellAnchor>
    <xdr:from>
      <xdr:col>12</xdr:col>
      <xdr:colOff>76200</xdr:colOff>
      <xdr:row>10</xdr:row>
      <xdr:rowOff>114300</xdr:rowOff>
    </xdr:from>
    <xdr:to>
      <xdr:col>16</xdr:col>
      <xdr:colOff>571500</xdr:colOff>
      <xdr:row>19</xdr:row>
      <xdr:rowOff>19050</xdr:rowOff>
    </xdr:to>
    <xdr:graphicFrame macro="">
      <xdr:nvGraphicFramePr>
        <xdr:cNvPr id="110" name="Chart 109">
          <a:extLst>
            <a:ext uri="{FF2B5EF4-FFF2-40B4-BE49-F238E27FC236}">
              <a16:creationId xmlns:a16="http://schemas.microsoft.com/office/drawing/2014/main" id="{E161B04E-85C1-44B3-A80C-105B2A3EA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142875</xdr:colOff>
      <xdr:row>8</xdr:row>
      <xdr:rowOff>104775</xdr:rowOff>
    </xdr:from>
    <xdr:to>
      <xdr:col>14</xdr:col>
      <xdr:colOff>76200</xdr:colOff>
      <xdr:row>10</xdr:row>
      <xdr:rowOff>9525</xdr:rowOff>
    </xdr:to>
    <xdr:sp macro="" textlink="">
      <xdr:nvSpPr>
        <xdr:cNvPr id="111" name="TextBox 110">
          <a:extLst>
            <a:ext uri="{FF2B5EF4-FFF2-40B4-BE49-F238E27FC236}">
              <a16:creationId xmlns:a16="http://schemas.microsoft.com/office/drawing/2014/main" id="{011075D0-2D46-7DFA-3E87-577E8AABEFF8}"/>
            </a:ext>
          </a:extLst>
        </xdr:cNvPr>
        <xdr:cNvSpPr txBox="1"/>
      </xdr:nvSpPr>
      <xdr:spPr>
        <a:xfrm>
          <a:off x="7458075" y="1476375"/>
          <a:ext cx="11525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E5B244"/>
              </a:solidFill>
              <a:latin typeface="Kulim Park" pitchFamily="2" charset="0"/>
            </a:rPr>
            <a:t>Regions</a:t>
          </a:r>
        </a:p>
      </xdr:txBody>
    </xdr:sp>
    <xdr:clientData/>
  </xdr:twoCellAnchor>
  <xdr:twoCellAnchor>
    <xdr:from>
      <xdr:col>12</xdr:col>
      <xdr:colOff>142876</xdr:colOff>
      <xdr:row>10</xdr:row>
      <xdr:rowOff>0</xdr:rowOff>
    </xdr:from>
    <xdr:to>
      <xdr:col>14</xdr:col>
      <xdr:colOff>542926</xdr:colOff>
      <xdr:row>11</xdr:row>
      <xdr:rowOff>47625</xdr:rowOff>
    </xdr:to>
    <xdr:sp macro="" textlink="">
      <xdr:nvSpPr>
        <xdr:cNvPr id="112" name="TextBox 111">
          <a:extLst>
            <a:ext uri="{FF2B5EF4-FFF2-40B4-BE49-F238E27FC236}">
              <a16:creationId xmlns:a16="http://schemas.microsoft.com/office/drawing/2014/main" id="{932EF4AD-F5EE-0598-15B6-FA53F819BF5F}"/>
            </a:ext>
          </a:extLst>
        </xdr:cNvPr>
        <xdr:cNvSpPr txBox="1"/>
      </xdr:nvSpPr>
      <xdr:spPr>
        <a:xfrm>
          <a:off x="7458076" y="1714500"/>
          <a:ext cx="16192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solidFill>
                <a:schemeClr val="tx1">
                  <a:lumMod val="50000"/>
                  <a:lumOff val="50000"/>
                </a:schemeClr>
              </a:solidFill>
              <a:latin typeface="Kulim Park" pitchFamily="2" charset="0"/>
            </a:rPr>
            <a:t>Employees per region</a:t>
          </a:r>
        </a:p>
      </xdr:txBody>
    </xdr:sp>
    <xdr:clientData/>
  </xdr:twoCellAnchor>
  <xdr:twoCellAnchor>
    <xdr:from>
      <xdr:col>12</xdr:col>
      <xdr:colOff>80963</xdr:colOff>
      <xdr:row>2</xdr:row>
      <xdr:rowOff>133350</xdr:rowOff>
    </xdr:from>
    <xdr:to>
      <xdr:col>13</xdr:col>
      <xdr:colOff>376238</xdr:colOff>
      <xdr:row>6</xdr:row>
      <xdr:rowOff>38100</xdr:rowOff>
    </xdr:to>
    <xdr:sp macro="" textlink="'pivot table'!AN17">
      <xdr:nvSpPr>
        <xdr:cNvPr id="52" name="TextBox 51">
          <a:extLst>
            <a:ext uri="{FF2B5EF4-FFF2-40B4-BE49-F238E27FC236}">
              <a16:creationId xmlns:a16="http://schemas.microsoft.com/office/drawing/2014/main" id="{3DE4D1CE-8A37-4ABE-862B-1B1C47C21CAA}"/>
            </a:ext>
          </a:extLst>
        </xdr:cNvPr>
        <xdr:cNvSpPr txBox="1"/>
      </xdr:nvSpPr>
      <xdr:spPr>
        <a:xfrm>
          <a:off x="7396163" y="476250"/>
          <a:ext cx="904875"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8B51C5D-B98B-4F4C-BA62-D2EE97E8A107}" type="TxLink">
            <a:rPr lang="en-US" sz="4500" b="1" i="0" u="none" strike="noStrike">
              <a:solidFill>
                <a:schemeClr val="bg1"/>
              </a:solidFill>
              <a:latin typeface="Kulim Park"/>
              <a:ea typeface="+mn-ea"/>
              <a:cs typeface="+mn-cs"/>
            </a:rPr>
            <a:pPr marL="0" indent="0" algn="r"/>
            <a:t>131</a:t>
          </a:fld>
          <a:endParaRPr lang="en-US" sz="4500" b="1" i="0" u="none" strike="noStrike">
            <a:solidFill>
              <a:schemeClr val="bg1"/>
            </a:solidFill>
            <a:latin typeface="Kulim Park"/>
            <a:ea typeface="+mn-ea"/>
            <a:cs typeface="+mn-cs"/>
          </a:endParaRPr>
        </a:p>
      </xdr:txBody>
    </xdr:sp>
    <xdr:clientData/>
  </xdr:twoCellAnchor>
  <xdr:twoCellAnchor>
    <xdr:from>
      <xdr:col>12</xdr:col>
      <xdr:colOff>61913</xdr:colOff>
      <xdr:row>6</xdr:row>
      <xdr:rowOff>38100</xdr:rowOff>
    </xdr:from>
    <xdr:to>
      <xdr:col>14</xdr:col>
      <xdr:colOff>171450</xdr:colOff>
      <xdr:row>7</xdr:row>
      <xdr:rowOff>152399</xdr:rowOff>
    </xdr:to>
    <xdr:sp macro="" textlink="">
      <xdr:nvSpPr>
        <xdr:cNvPr id="53" name="TextBox 52">
          <a:extLst>
            <a:ext uri="{FF2B5EF4-FFF2-40B4-BE49-F238E27FC236}">
              <a16:creationId xmlns:a16="http://schemas.microsoft.com/office/drawing/2014/main" id="{E19BD4F7-F930-489D-8264-D11922D5B2F6}"/>
            </a:ext>
          </a:extLst>
        </xdr:cNvPr>
        <xdr:cNvSpPr txBox="1"/>
      </xdr:nvSpPr>
      <xdr:spPr>
        <a:xfrm>
          <a:off x="7377113" y="1066800"/>
          <a:ext cx="1328737"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Kulim Park" pitchFamily="2" charset="0"/>
            </a:rPr>
            <a:t>Sum Rating</a:t>
          </a:r>
        </a:p>
      </xdr:txBody>
    </xdr:sp>
    <xdr:clientData/>
  </xdr:twoCellAnchor>
  <xdr:twoCellAnchor editAs="oneCell">
    <xdr:from>
      <xdr:col>14</xdr:col>
      <xdr:colOff>447675</xdr:colOff>
      <xdr:row>1</xdr:row>
      <xdr:rowOff>60353</xdr:rowOff>
    </xdr:from>
    <xdr:to>
      <xdr:col>16</xdr:col>
      <xdr:colOff>457200</xdr:colOff>
      <xdr:row>8</xdr:row>
      <xdr:rowOff>57150</xdr:rowOff>
    </xdr:to>
    <xdr:pic>
      <xdr:nvPicPr>
        <xdr:cNvPr id="83" name="Picture 82">
          <a:extLst>
            <a:ext uri="{FF2B5EF4-FFF2-40B4-BE49-F238E27FC236}">
              <a16:creationId xmlns:a16="http://schemas.microsoft.com/office/drawing/2014/main" id="{6E070BCF-5C72-2473-C37C-F849D3C681F0}"/>
            </a:ext>
          </a:extLst>
        </xdr:cNvPr>
        <xdr:cNvPicPr>
          <a:picLocks noChangeAspect="1"/>
        </xdr:cNvPicPr>
      </xdr:nvPicPr>
      <xdr:blipFill rotWithShape="1">
        <a:blip xmlns:r="http://schemas.openxmlformats.org/officeDocument/2006/relationships" r:embed="rId16" cstate="print">
          <a:extLst>
            <a:ext uri="{BEBA8EAE-BF5A-486C-A8C5-ECC9F3942E4B}">
              <a14:imgProps xmlns:a14="http://schemas.microsoft.com/office/drawing/2010/main">
                <a14:imgLayer r:embed="rId17">
                  <a14:imgEffect>
                    <a14:backgroundRemoval t="10000" b="90000" l="10000" r="90000"/>
                  </a14:imgEffect>
                </a14:imgLayer>
              </a14:imgProps>
            </a:ext>
            <a:ext uri="{28A0092B-C50C-407E-A947-70E740481C1C}">
              <a14:useLocalDpi xmlns:a14="http://schemas.microsoft.com/office/drawing/2010/main" val="0"/>
            </a:ext>
          </a:extLst>
        </a:blip>
        <a:srcRect l="14201" t="24546" r="17160" b="27632"/>
        <a:stretch>
          <a:fillRect/>
        </a:stretch>
      </xdr:blipFill>
      <xdr:spPr>
        <a:xfrm>
          <a:off x="8982075" y="231803"/>
          <a:ext cx="1228725" cy="1196947"/>
        </a:xfrm>
        <a:prstGeom prst="rect">
          <a:avLst/>
        </a:prstGeom>
      </xdr:spPr>
    </xdr:pic>
    <xdr:clientData/>
  </xdr:twoCellAnchor>
  <xdr:twoCellAnchor>
    <xdr:from>
      <xdr:col>12</xdr:col>
      <xdr:colOff>161924</xdr:colOff>
      <xdr:row>0</xdr:row>
      <xdr:rowOff>38100</xdr:rowOff>
    </xdr:from>
    <xdr:to>
      <xdr:col>15</xdr:col>
      <xdr:colOff>209549</xdr:colOff>
      <xdr:row>1</xdr:row>
      <xdr:rowOff>142875</xdr:rowOff>
    </xdr:to>
    <xdr:sp macro="" textlink="">
      <xdr:nvSpPr>
        <xdr:cNvPr id="84" name="TextBox 83">
          <a:extLst>
            <a:ext uri="{FF2B5EF4-FFF2-40B4-BE49-F238E27FC236}">
              <a16:creationId xmlns:a16="http://schemas.microsoft.com/office/drawing/2014/main" id="{4AE42CD3-D381-4C4C-A766-573D445D2497}"/>
            </a:ext>
          </a:extLst>
        </xdr:cNvPr>
        <xdr:cNvSpPr txBox="1"/>
      </xdr:nvSpPr>
      <xdr:spPr>
        <a:xfrm>
          <a:off x="7477124" y="38100"/>
          <a:ext cx="18764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E5B244"/>
              </a:solidFill>
              <a:latin typeface="Kulim Park" pitchFamily="2" charset="0"/>
            </a:rPr>
            <a:t>Performance Rating</a:t>
          </a:r>
        </a:p>
      </xdr:txBody>
    </xdr:sp>
    <xdr:clientData/>
  </xdr:twoCellAnchor>
  <xdr:twoCellAnchor>
    <xdr:from>
      <xdr:col>12</xdr:col>
      <xdr:colOff>161926</xdr:colOff>
      <xdr:row>1</xdr:row>
      <xdr:rowOff>104775</xdr:rowOff>
    </xdr:from>
    <xdr:to>
      <xdr:col>14</xdr:col>
      <xdr:colOff>561976</xdr:colOff>
      <xdr:row>2</xdr:row>
      <xdr:rowOff>152400</xdr:rowOff>
    </xdr:to>
    <xdr:sp macro="" textlink="">
      <xdr:nvSpPr>
        <xdr:cNvPr id="85" name="TextBox 84">
          <a:extLst>
            <a:ext uri="{FF2B5EF4-FFF2-40B4-BE49-F238E27FC236}">
              <a16:creationId xmlns:a16="http://schemas.microsoft.com/office/drawing/2014/main" id="{592E4D6B-E411-4407-B998-218DC45B8C18}"/>
            </a:ext>
          </a:extLst>
        </xdr:cNvPr>
        <xdr:cNvSpPr txBox="1"/>
      </xdr:nvSpPr>
      <xdr:spPr>
        <a:xfrm>
          <a:off x="7477126" y="276225"/>
          <a:ext cx="16192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tx1">
                  <a:lumMod val="50000"/>
                  <a:lumOff val="50000"/>
                </a:schemeClr>
              </a:solidFill>
              <a:latin typeface="Kulim Park" pitchFamily="2" charset="0"/>
            </a:rPr>
            <a:t>Sum Performance Rating</a:t>
          </a:r>
        </a:p>
      </xdr:txBody>
    </xdr:sp>
    <xdr:clientData/>
  </xdr:twoCellAnchor>
  <xdr:twoCellAnchor>
    <xdr:from>
      <xdr:col>12</xdr:col>
      <xdr:colOff>95251</xdr:colOff>
      <xdr:row>0</xdr:row>
      <xdr:rowOff>110332</xdr:rowOff>
    </xdr:from>
    <xdr:to>
      <xdr:col>12</xdr:col>
      <xdr:colOff>219075</xdr:colOff>
      <xdr:row>1</xdr:row>
      <xdr:rowOff>76200</xdr:rowOff>
    </xdr:to>
    <xdr:sp macro="" textlink="">
      <xdr:nvSpPr>
        <xdr:cNvPr id="86" name="Oval 85">
          <a:extLst>
            <a:ext uri="{FF2B5EF4-FFF2-40B4-BE49-F238E27FC236}">
              <a16:creationId xmlns:a16="http://schemas.microsoft.com/office/drawing/2014/main" id="{6C0C2E66-B9B0-4B0C-81FB-3DFBE8471B61}"/>
            </a:ext>
          </a:extLst>
        </xdr:cNvPr>
        <xdr:cNvSpPr/>
      </xdr:nvSpPr>
      <xdr:spPr>
        <a:xfrm rot="10800000" flipV="1">
          <a:off x="7410451" y="110332"/>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57151</xdr:colOff>
      <xdr:row>9</xdr:row>
      <xdr:rowOff>5557</xdr:rowOff>
    </xdr:from>
    <xdr:to>
      <xdr:col>12</xdr:col>
      <xdr:colOff>180975</xdr:colOff>
      <xdr:row>9</xdr:row>
      <xdr:rowOff>142875</xdr:rowOff>
    </xdr:to>
    <xdr:sp macro="" textlink="">
      <xdr:nvSpPr>
        <xdr:cNvPr id="97" name="Oval 96">
          <a:extLst>
            <a:ext uri="{FF2B5EF4-FFF2-40B4-BE49-F238E27FC236}">
              <a16:creationId xmlns:a16="http://schemas.microsoft.com/office/drawing/2014/main" id="{4831CDB5-1324-4716-B431-7B4184830684}"/>
            </a:ext>
          </a:extLst>
        </xdr:cNvPr>
        <xdr:cNvSpPr/>
      </xdr:nvSpPr>
      <xdr:spPr>
        <a:xfrm rot="10800000" flipV="1">
          <a:off x="7372351" y="1548607"/>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571501</xdr:colOff>
      <xdr:row>22</xdr:row>
      <xdr:rowOff>119857</xdr:rowOff>
    </xdr:from>
    <xdr:to>
      <xdr:col>8</xdr:col>
      <xdr:colOff>85725</xdr:colOff>
      <xdr:row>23</xdr:row>
      <xdr:rowOff>85725</xdr:rowOff>
    </xdr:to>
    <xdr:sp macro="" textlink="">
      <xdr:nvSpPr>
        <xdr:cNvPr id="98" name="Oval 97">
          <a:extLst>
            <a:ext uri="{FF2B5EF4-FFF2-40B4-BE49-F238E27FC236}">
              <a16:creationId xmlns:a16="http://schemas.microsoft.com/office/drawing/2014/main" id="{CF375C36-50EA-4E88-8737-B4D961E1ACBE}"/>
            </a:ext>
          </a:extLst>
        </xdr:cNvPr>
        <xdr:cNvSpPr/>
      </xdr:nvSpPr>
      <xdr:spPr>
        <a:xfrm rot="10800000" flipV="1">
          <a:off x="4838701" y="3891757"/>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5</xdr:col>
      <xdr:colOff>466726</xdr:colOff>
      <xdr:row>15</xdr:row>
      <xdr:rowOff>43657</xdr:rowOff>
    </xdr:from>
    <xdr:to>
      <xdr:col>5</xdr:col>
      <xdr:colOff>590550</xdr:colOff>
      <xdr:row>16</xdr:row>
      <xdr:rowOff>9525</xdr:rowOff>
    </xdr:to>
    <xdr:sp macro="" textlink="">
      <xdr:nvSpPr>
        <xdr:cNvPr id="102" name="Oval 101">
          <a:extLst>
            <a:ext uri="{FF2B5EF4-FFF2-40B4-BE49-F238E27FC236}">
              <a16:creationId xmlns:a16="http://schemas.microsoft.com/office/drawing/2014/main" id="{C8683755-1AF7-40CC-A99D-F82F4831775B}"/>
            </a:ext>
          </a:extLst>
        </xdr:cNvPr>
        <xdr:cNvSpPr/>
      </xdr:nvSpPr>
      <xdr:spPr>
        <a:xfrm rot="10800000" flipV="1">
          <a:off x="3514726" y="2615407"/>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600076</xdr:colOff>
      <xdr:row>7</xdr:row>
      <xdr:rowOff>148432</xdr:rowOff>
    </xdr:from>
    <xdr:to>
      <xdr:col>8</xdr:col>
      <xdr:colOff>114300</xdr:colOff>
      <xdr:row>8</xdr:row>
      <xdr:rowOff>114300</xdr:rowOff>
    </xdr:to>
    <xdr:sp macro="" textlink="">
      <xdr:nvSpPr>
        <xdr:cNvPr id="103" name="Oval 102">
          <a:extLst>
            <a:ext uri="{FF2B5EF4-FFF2-40B4-BE49-F238E27FC236}">
              <a16:creationId xmlns:a16="http://schemas.microsoft.com/office/drawing/2014/main" id="{2FB13D68-F926-4FA7-8074-948C2C2D1995}"/>
            </a:ext>
          </a:extLst>
        </xdr:cNvPr>
        <xdr:cNvSpPr/>
      </xdr:nvSpPr>
      <xdr:spPr>
        <a:xfrm rot="10800000" flipV="1">
          <a:off x="4867276" y="1348582"/>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95251</xdr:colOff>
      <xdr:row>18</xdr:row>
      <xdr:rowOff>157957</xdr:rowOff>
    </xdr:from>
    <xdr:to>
      <xdr:col>12</xdr:col>
      <xdr:colOff>219075</xdr:colOff>
      <xdr:row>19</xdr:row>
      <xdr:rowOff>123825</xdr:rowOff>
    </xdr:to>
    <xdr:sp macro="" textlink="">
      <xdr:nvSpPr>
        <xdr:cNvPr id="104" name="Oval 103">
          <a:extLst>
            <a:ext uri="{FF2B5EF4-FFF2-40B4-BE49-F238E27FC236}">
              <a16:creationId xmlns:a16="http://schemas.microsoft.com/office/drawing/2014/main" id="{4B534449-5341-4DF0-B074-50FE76C6CF55}"/>
            </a:ext>
          </a:extLst>
        </xdr:cNvPr>
        <xdr:cNvSpPr/>
      </xdr:nvSpPr>
      <xdr:spPr>
        <a:xfrm rot="10800000" flipV="1">
          <a:off x="7410451" y="3244057"/>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542926</xdr:colOff>
      <xdr:row>15</xdr:row>
      <xdr:rowOff>34132</xdr:rowOff>
    </xdr:from>
    <xdr:to>
      <xdr:col>4</xdr:col>
      <xdr:colOff>57150</xdr:colOff>
      <xdr:row>16</xdr:row>
      <xdr:rowOff>0</xdr:rowOff>
    </xdr:to>
    <xdr:sp macro="" textlink="">
      <xdr:nvSpPr>
        <xdr:cNvPr id="105" name="Oval 104">
          <a:extLst>
            <a:ext uri="{FF2B5EF4-FFF2-40B4-BE49-F238E27FC236}">
              <a16:creationId xmlns:a16="http://schemas.microsoft.com/office/drawing/2014/main" id="{E75A859E-55B1-43D5-981E-87A85D7BB594}"/>
            </a:ext>
          </a:extLst>
        </xdr:cNvPr>
        <xdr:cNvSpPr/>
      </xdr:nvSpPr>
      <xdr:spPr>
        <a:xfrm rot="10800000" flipV="1">
          <a:off x="2371726" y="2605882"/>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428626</xdr:colOff>
      <xdr:row>22</xdr:row>
      <xdr:rowOff>53182</xdr:rowOff>
    </xdr:from>
    <xdr:to>
      <xdr:col>3</xdr:col>
      <xdr:colOff>552450</xdr:colOff>
      <xdr:row>23</xdr:row>
      <xdr:rowOff>19050</xdr:rowOff>
    </xdr:to>
    <xdr:sp macro="" textlink="">
      <xdr:nvSpPr>
        <xdr:cNvPr id="107" name="Oval 106">
          <a:extLst>
            <a:ext uri="{FF2B5EF4-FFF2-40B4-BE49-F238E27FC236}">
              <a16:creationId xmlns:a16="http://schemas.microsoft.com/office/drawing/2014/main" id="{A4B97994-6161-4015-961A-EB581353E01A}"/>
            </a:ext>
          </a:extLst>
        </xdr:cNvPr>
        <xdr:cNvSpPr/>
      </xdr:nvSpPr>
      <xdr:spPr>
        <a:xfrm rot="10800000" flipV="1">
          <a:off x="2257426" y="3825082"/>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523876</xdr:colOff>
      <xdr:row>7</xdr:row>
      <xdr:rowOff>129382</xdr:rowOff>
    </xdr:from>
    <xdr:to>
      <xdr:col>4</xdr:col>
      <xdr:colOff>38100</xdr:colOff>
      <xdr:row>8</xdr:row>
      <xdr:rowOff>95250</xdr:rowOff>
    </xdr:to>
    <xdr:sp macro="" textlink="">
      <xdr:nvSpPr>
        <xdr:cNvPr id="113" name="Oval 112">
          <a:extLst>
            <a:ext uri="{FF2B5EF4-FFF2-40B4-BE49-F238E27FC236}">
              <a16:creationId xmlns:a16="http://schemas.microsoft.com/office/drawing/2014/main" id="{09A1D716-386B-4D1B-AC3E-8DFBEDD3CC45}"/>
            </a:ext>
          </a:extLst>
        </xdr:cNvPr>
        <xdr:cNvSpPr/>
      </xdr:nvSpPr>
      <xdr:spPr>
        <a:xfrm rot="10800000" flipV="1">
          <a:off x="2352676" y="1329532"/>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123826</xdr:colOff>
      <xdr:row>18</xdr:row>
      <xdr:rowOff>43657</xdr:rowOff>
    </xdr:from>
    <xdr:to>
      <xdr:col>0</xdr:col>
      <xdr:colOff>247650</xdr:colOff>
      <xdr:row>19</xdr:row>
      <xdr:rowOff>9525</xdr:rowOff>
    </xdr:to>
    <xdr:sp macro="" textlink="">
      <xdr:nvSpPr>
        <xdr:cNvPr id="114" name="Oval 113">
          <a:extLst>
            <a:ext uri="{FF2B5EF4-FFF2-40B4-BE49-F238E27FC236}">
              <a16:creationId xmlns:a16="http://schemas.microsoft.com/office/drawing/2014/main" id="{ADAF0AAE-8658-4714-9081-548FB3EC0A91}"/>
            </a:ext>
          </a:extLst>
        </xdr:cNvPr>
        <xdr:cNvSpPr/>
      </xdr:nvSpPr>
      <xdr:spPr>
        <a:xfrm rot="10800000" flipV="1">
          <a:off x="123826" y="3129757"/>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171451</xdr:colOff>
      <xdr:row>25</xdr:row>
      <xdr:rowOff>100807</xdr:rowOff>
    </xdr:from>
    <xdr:to>
      <xdr:col>0</xdr:col>
      <xdr:colOff>295275</xdr:colOff>
      <xdr:row>26</xdr:row>
      <xdr:rowOff>66675</xdr:rowOff>
    </xdr:to>
    <xdr:sp macro="" textlink="">
      <xdr:nvSpPr>
        <xdr:cNvPr id="115" name="Oval 114">
          <a:extLst>
            <a:ext uri="{FF2B5EF4-FFF2-40B4-BE49-F238E27FC236}">
              <a16:creationId xmlns:a16="http://schemas.microsoft.com/office/drawing/2014/main" id="{7F740736-AA33-4FFF-8B99-DB36A0057E34}"/>
            </a:ext>
          </a:extLst>
        </xdr:cNvPr>
        <xdr:cNvSpPr/>
      </xdr:nvSpPr>
      <xdr:spPr>
        <a:xfrm rot="10800000" flipV="1">
          <a:off x="171451" y="4387057"/>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114301</xdr:colOff>
      <xdr:row>21</xdr:row>
      <xdr:rowOff>34132</xdr:rowOff>
    </xdr:from>
    <xdr:to>
      <xdr:col>0</xdr:col>
      <xdr:colOff>238125</xdr:colOff>
      <xdr:row>22</xdr:row>
      <xdr:rowOff>0</xdr:rowOff>
    </xdr:to>
    <xdr:sp macro="" textlink="">
      <xdr:nvSpPr>
        <xdr:cNvPr id="116" name="Oval 115">
          <a:extLst>
            <a:ext uri="{FF2B5EF4-FFF2-40B4-BE49-F238E27FC236}">
              <a16:creationId xmlns:a16="http://schemas.microsoft.com/office/drawing/2014/main" id="{2856A7D9-8BB1-41A7-A082-9BEF58124BCD}"/>
            </a:ext>
          </a:extLst>
        </xdr:cNvPr>
        <xdr:cNvSpPr/>
      </xdr:nvSpPr>
      <xdr:spPr>
        <a:xfrm rot="10800000" flipV="1">
          <a:off x="114301" y="3634582"/>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123826</xdr:colOff>
      <xdr:row>16</xdr:row>
      <xdr:rowOff>129382</xdr:rowOff>
    </xdr:from>
    <xdr:to>
      <xdr:col>0</xdr:col>
      <xdr:colOff>247650</xdr:colOff>
      <xdr:row>17</xdr:row>
      <xdr:rowOff>95250</xdr:rowOff>
    </xdr:to>
    <xdr:sp macro="" textlink="">
      <xdr:nvSpPr>
        <xdr:cNvPr id="117" name="Oval 116">
          <a:extLst>
            <a:ext uri="{FF2B5EF4-FFF2-40B4-BE49-F238E27FC236}">
              <a16:creationId xmlns:a16="http://schemas.microsoft.com/office/drawing/2014/main" id="{585720DE-B221-4072-A684-36696F7D468C}"/>
            </a:ext>
          </a:extLst>
        </xdr:cNvPr>
        <xdr:cNvSpPr/>
      </xdr:nvSpPr>
      <xdr:spPr>
        <a:xfrm rot="10800000" flipV="1">
          <a:off x="123826" y="2872582"/>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114301</xdr:colOff>
      <xdr:row>22</xdr:row>
      <xdr:rowOff>138907</xdr:rowOff>
    </xdr:from>
    <xdr:to>
      <xdr:col>0</xdr:col>
      <xdr:colOff>238125</xdr:colOff>
      <xdr:row>23</xdr:row>
      <xdr:rowOff>104775</xdr:rowOff>
    </xdr:to>
    <xdr:sp macro="" textlink="">
      <xdr:nvSpPr>
        <xdr:cNvPr id="118" name="Oval 117">
          <a:extLst>
            <a:ext uri="{FF2B5EF4-FFF2-40B4-BE49-F238E27FC236}">
              <a16:creationId xmlns:a16="http://schemas.microsoft.com/office/drawing/2014/main" id="{D9E83B79-64B7-4D9B-8A2E-56952B52D31E}"/>
            </a:ext>
          </a:extLst>
        </xdr:cNvPr>
        <xdr:cNvSpPr/>
      </xdr:nvSpPr>
      <xdr:spPr>
        <a:xfrm rot="10800000" flipV="1">
          <a:off x="114301" y="3910807"/>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114301</xdr:colOff>
      <xdr:row>19</xdr:row>
      <xdr:rowOff>138907</xdr:rowOff>
    </xdr:from>
    <xdr:to>
      <xdr:col>0</xdr:col>
      <xdr:colOff>238125</xdr:colOff>
      <xdr:row>20</xdr:row>
      <xdr:rowOff>104775</xdr:rowOff>
    </xdr:to>
    <xdr:sp macro="" textlink="">
      <xdr:nvSpPr>
        <xdr:cNvPr id="119" name="Oval 118">
          <a:extLst>
            <a:ext uri="{FF2B5EF4-FFF2-40B4-BE49-F238E27FC236}">
              <a16:creationId xmlns:a16="http://schemas.microsoft.com/office/drawing/2014/main" id="{0607C738-0250-4BD7-B208-24255D43F06F}"/>
            </a:ext>
          </a:extLst>
        </xdr:cNvPr>
        <xdr:cNvSpPr/>
      </xdr:nvSpPr>
      <xdr:spPr>
        <a:xfrm rot="10800000" flipV="1">
          <a:off x="114301" y="3396457"/>
          <a:ext cx="123824" cy="13731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219075</xdr:colOff>
      <xdr:row>13</xdr:row>
      <xdr:rowOff>19050</xdr:rowOff>
    </xdr:from>
    <xdr:to>
      <xdr:col>0</xdr:col>
      <xdr:colOff>219075</xdr:colOff>
      <xdr:row>15</xdr:row>
      <xdr:rowOff>66675</xdr:rowOff>
    </xdr:to>
    <xdr:cxnSp macro="">
      <xdr:nvCxnSpPr>
        <xdr:cNvPr id="121" name="Straight Connector 120">
          <a:extLst>
            <a:ext uri="{FF2B5EF4-FFF2-40B4-BE49-F238E27FC236}">
              <a16:creationId xmlns:a16="http://schemas.microsoft.com/office/drawing/2014/main" id="{4A7F0A3B-6CC4-BA46-6FE3-8D9DC2835EA7}"/>
            </a:ext>
          </a:extLst>
        </xdr:cNvPr>
        <xdr:cNvCxnSpPr/>
      </xdr:nvCxnSpPr>
      <xdr:spPr>
        <a:xfrm>
          <a:off x="219075" y="2247900"/>
          <a:ext cx="0" cy="390525"/>
        </a:xfrm>
        <a:prstGeom prst="line">
          <a:avLst/>
        </a:prstGeom>
        <a:ln w="25400" cap="rnd">
          <a:solidFill>
            <a:schemeClr val="bg1">
              <a:lumMod val="85000"/>
            </a:schemeClr>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600075</xdr:colOff>
      <xdr:row>0</xdr:row>
      <xdr:rowOff>114300</xdr:rowOff>
    </xdr:from>
    <xdr:to>
      <xdr:col>3</xdr:col>
      <xdr:colOff>114300</xdr:colOff>
      <xdr:row>3</xdr:row>
      <xdr:rowOff>133350</xdr:rowOff>
    </xdr:to>
    <xdr:sp macro="" textlink="">
      <xdr:nvSpPr>
        <xdr:cNvPr id="125" name="TextBox 124">
          <a:extLst>
            <a:ext uri="{FF2B5EF4-FFF2-40B4-BE49-F238E27FC236}">
              <a16:creationId xmlns:a16="http://schemas.microsoft.com/office/drawing/2014/main" id="{A358C84F-1570-42AD-A964-BDD33A22B003}"/>
            </a:ext>
          </a:extLst>
        </xdr:cNvPr>
        <xdr:cNvSpPr txBox="1"/>
      </xdr:nvSpPr>
      <xdr:spPr>
        <a:xfrm>
          <a:off x="1209675" y="114300"/>
          <a:ext cx="73342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E5B244"/>
              </a:solidFill>
              <a:latin typeface="Kulim Park" pitchFamily="2" charset="0"/>
            </a:rPr>
            <a:t>HR</a:t>
          </a:r>
        </a:p>
      </xdr:txBody>
    </xdr:sp>
    <xdr:clientData/>
  </xdr:twoCellAnchor>
  <xdr:twoCellAnchor>
    <xdr:from>
      <xdr:col>1</xdr:col>
      <xdr:colOff>590550</xdr:colOff>
      <xdr:row>3</xdr:row>
      <xdr:rowOff>19050</xdr:rowOff>
    </xdr:from>
    <xdr:to>
      <xdr:col>3</xdr:col>
      <xdr:colOff>523875</xdr:colOff>
      <xdr:row>5</xdr:row>
      <xdr:rowOff>28576</xdr:rowOff>
    </xdr:to>
    <xdr:sp macro="" textlink="">
      <xdr:nvSpPr>
        <xdr:cNvPr id="126" name="TextBox 125">
          <a:extLst>
            <a:ext uri="{FF2B5EF4-FFF2-40B4-BE49-F238E27FC236}">
              <a16:creationId xmlns:a16="http://schemas.microsoft.com/office/drawing/2014/main" id="{2BA36534-D3B1-4F94-9F58-89A2B350685D}"/>
            </a:ext>
          </a:extLst>
        </xdr:cNvPr>
        <xdr:cNvSpPr txBox="1"/>
      </xdr:nvSpPr>
      <xdr:spPr>
        <a:xfrm>
          <a:off x="1200150" y="533400"/>
          <a:ext cx="11525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E5B244"/>
              </a:solidFill>
              <a:latin typeface="Kulim Park" pitchFamily="2" charset="0"/>
            </a:rPr>
            <a:t>Dashboard</a:t>
          </a:r>
        </a:p>
      </xdr:txBody>
    </xdr:sp>
    <xdr:clientData/>
  </xdr:twoCellAnchor>
  <xdr:twoCellAnchor>
    <xdr:from>
      <xdr:col>1</xdr:col>
      <xdr:colOff>590549</xdr:colOff>
      <xdr:row>4</xdr:row>
      <xdr:rowOff>123826</xdr:rowOff>
    </xdr:from>
    <xdr:to>
      <xdr:col>7</xdr:col>
      <xdr:colOff>561975</xdr:colOff>
      <xdr:row>6</xdr:row>
      <xdr:rowOff>47626</xdr:rowOff>
    </xdr:to>
    <xdr:sp macro="" textlink="">
      <xdr:nvSpPr>
        <xdr:cNvPr id="127" name="TextBox 126">
          <a:extLst>
            <a:ext uri="{FF2B5EF4-FFF2-40B4-BE49-F238E27FC236}">
              <a16:creationId xmlns:a16="http://schemas.microsoft.com/office/drawing/2014/main" id="{E2B3E187-6084-489D-B900-C0C0163E306E}"/>
            </a:ext>
          </a:extLst>
        </xdr:cNvPr>
        <xdr:cNvSpPr txBox="1"/>
      </xdr:nvSpPr>
      <xdr:spPr>
        <a:xfrm>
          <a:off x="1200149" y="809626"/>
          <a:ext cx="362902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b="0">
              <a:solidFill>
                <a:schemeClr val="tx1">
                  <a:lumMod val="50000"/>
                  <a:lumOff val="50000"/>
                </a:schemeClr>
              </a:solidFill>
              <a:latin typeface="Kulim Park" pitchFamily="2" charset="0"/>
              <a:ea typeface="+mn-ea"/>
              <a:cs typeface="+mn-cs"/>
            </a:rPr>
            <a:t>Analyze and monitor the HR department</a:t>
          </a:r>
        </a:p>
      </xdr:txBody>
    </xdr:sp>
    <xdr:clientData/>
  </xdr:twoCellAnchor>
  <xdr:twoCellAnchor editAs="oneCell">
    <xdr:from>
      <xdr:col>0</xdr:col>
      <xdr:colOff>76200</xdr:colOff>
      <xdr:row>0</xdr:row>
      <xdr:rowOff>47626</xdr:rowOff>
    </xdr:from>
    <xdr:to>
      <xdr:col>2</xdr:col>
      <xdr:colOff>19050</xdr:colOff>
      <xdr:row>6</xdr:row>
      <xdr:rowOff>51859</xdr:rowOff>
    </xdr:to>
    <xdr:pic>
      <xdr:nvPicPr>
        <xdr:cNvPr id="129" name="Picture 128">
          <a:extLst>
            <a:ext uri="{FF2B5EF4-FFF2-40B4-BE49-F238E27FC236}">
              <a16:creationId xmlns:a16="http://schemas.microsoft.com/office/drawing/2014/main" id="{48E68AC3-5D7A-E63F-7C02-F97DD9B2C71C}"/>
            </a:ext>
          </a:extLst>
        </xdr:cNvPr>
        <xdr:cNvPicPr>
          <a:picLocks noChangeAspect="1"/>
        </xdr:cNvPicPr>
      </xdr:nvPicPr>
      <xdr:blipFill rotWithShape="1">
        <a:blip xmlns:r="http://schemas.openxmlformats.org/officeDocument/2006/relationships" r:embed="rId18" cstate="print">
          <a:extLst>
            <a:ext uri="{BEBA8EAE-BF5A-486C-A8C5-ECC9F3942E4B}">
              <a14:imgProps xmlns:a14="http://schemas.microsoft.com/office/drawing/2010/main">
                <a14:imgLayer r:embed="rId19">
                  <a14:imgEffect>
                    <a14:backgroundRemoval t="9961" b="89941" l="9961" r="91504">
                      <a14:foregroundMark x1="18848" y1="46094" x2="18848" y2="46094"/>
                      <a14:foregroundMark x1="18848" y1="69922" x2="18848" y2="69922"/>
                      <a14:foregroundMark x1="31055" y1="73633" x2="31055" y2="73633"/>
                      <a14:foregroundMark x1="91504" y1="61719" x2="91504" y2="61719"/>
                    </a14:backgroundRemoval>
                  </a14:imgEffect>
                </a14:imgLayer>
              </a14:imgProps>
            </a:ext>
            <a:ext uri="{28A0092B-C50C-407E-A947-70E740481C1C}">
              <a14:useLocalDpi xmlns:a14="http://schemas.microsoft.com/office/drawing/2010/main" val="0"/>
            </a:ext>
          </a:extLst>
        </a:blip>
        <a:srcRect l="9717" t="11875" r="5643" b="13125"/>
        <a:stretch>
          <a:fillRect/>
        </a:stretch>
      </xdr:blipFill>
      <xdr:spPr>
        <a:xfrm>
          <a:off x="76200" y="47626"/>
          <a:ext cx="1162050" cy="1032933"/>
        </a:xfrm>
        <a:prstGeom prst="rect">
          <a:avLst/>
        </a:prstGeom>
      </xdr:spPr>
    </xdr:pic>
    <xdr:clientData/>
  </xdr:twoCellAnchor>
  <xdr:twoCellAnchor editAs="oneCell">
    <xdr:from>
      <xdr:col>4</xdr:col>
      <xdr:colOff>285750</xdr:colOff>
      <xdr:row>0</xdr:row>
      <xdr:rowOff>123827</xdr:rowOff>
    </xdr:from>
    <xdr:to>
      <xdr:col>7</xdr:col>
      <xdr:colOff>285750</xdr:colOff>
      <xdr:row>4</xdr:row>
      <xdr:rowOff>47625</xdr:rowOff>
    </xdr:to>
    <mc:AlternateContent xmlns:mc="http://schemas.openxmlformats.org/markup-compatibility/2006">
      <mc:Choice xmlns:a14="http://schemas.microsoft.com/office/drawing/2010/main" Requires="a14">
        <xdr:graphicFrame macro="">
          <xdr:nvGraphicFramePr>
            <xdr:cNvPr id="130" name="Gender">
              <a:extLst>
                <a:ext uri="{FF2B5EF4-FFF2-40B4-BE49-F238E27FC236}">
                  <a16:creationId xmlns:a16="http://schemas.microsoft.com/office/drawing/2014/main" id="{01F8A341-D1A1-412A-B4D8-1C06B0F0135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724150" y="123827"/>
              <a:ext cx="1828800" cy="609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438150</xdr:colOff>
      <xdr:row>0</xdr:row>
      <xdr:rowOff>123825</xdr:rowOff>
    </xdr:from>
    <xdr:to>
      <xdr:col>12</xdr:col>
      <xdr:colOff>36135</xdr:colOff>
      <xdr:row>6</xdr:row>
      <xdr:rowOff>49787</xdr:rowOff>
    </xdr:to>
    <mc:AlternateContent xmlns:mc="http://schemas.openxmlformats.org/markup-compatibility/2006">
      <mc:Choice xmlns:a14="http://schemas.microsoft.com/office/drawing/2010/main" Requires="a14">
        <xdr:graphicFrame macro="">
          <xdr:nvGraphicFramePr>
            <xdr:cNvPr id="131" name="Department">
              <a:extLst>
                <a:ext uri="{FF2B5EF4-FFF2-40B4-BE49-F238E27FC236}">
                  <a16:creationId xmlns:a16="http://schemas.microsoft.com/office/drawing/2014/main" id="{E2FE7DE9-95C9-43D1-AD32-A478B937441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705350" y="123825"/>
              <a:ext cx="2645985" cy="954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447674</xdr:colOff>
      <xdr:row>0</xdr:row>
      <xdr:rowOff>104775</xdr:rowOff>
    </xdr:from>
    <xdr:to>
      <xdr:col>10</xdr:col>
      <xdr:colOff>495299</xdr:colOff>
      <xdr:row>2</xdr:row>
      <xdr:rowOff>38100</xdr:rowOff>
    </xdr:to>
    <xdr:sp macro="" textlink="">
      <xdr:nvSpPr>
        <xdr:cNvPr id="132" name="TextBox 131">
          <a:extLst>
            <a:ext uri="{FF2B5EF4-FFF2-40B4-BE49-F238E27FC236}">
              <a16:creationId xmlns:a16="http://schemas.microsoft.com/office/drawing/2014/main" id="{17B8C71C-D27C-4D98-9798-46F3FA17A994}"/>
            </a:ext>
          </a:extLst>
        </xdr:cNvPr>
        <xdr:cNvSpPr txBox="1"/>
      </xdr:nvSpPr>
      <xdr:spPr>
        <a:xfrm>
          <a:off x="4714874" y="104775"/>
          <a:ext cx="18764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Kulim Park" pitchFamily="2" charset="0"/>
            </a:rPr>
            <a:t>Filter by department</a:t>
          </a:r>
        </a:p>
      </xdr:txBody>
    </xdr:sp>
    <xdr:clientData/>
  </xdr:twoCellAnchor>
  <xdr:twoCellAnchor>
    <xdr:from>
      <xdr:col>4</xdr:col>
      <xdr:colOff>333374</xdr:colOff>
      <xdr:row>0</xdr:row>
      <xdr:rowOff>104775</xdr:rowOff>
    </xdr:from>
    <xdr:to>
      <xdr:col>6</xdr:col>
      <xdr:colOff>466725</xdr:colOff>
      <xdr:row>2</xdr:row>
      <xdr:rowOff>19050</xdr:rowOff>
    </xdr:to>
    <xdr:sp macro="" textlink="">
      <xdr:nvSpPr>
        <xdr:cNvPr id="133" name="TextBox 132">
          <a:extLst>
            <a:ext uri="{FF2B5EF4-FFF2-40B4-BE49-F238E27FC236}">
              <a16:creationId xmlns:a16="http://schemas.microsoft.com/office/drawing/2014/main" id="{A385E91F-BB9A-4D85-A7D7-5E7BD5DD5E2C}"/>
            </a:ext>
          </a:extLst>
        </xdr:cNvPr>
        <xdr:cNvSpPr txBox="1"/>
      </xdr:nvSpPr>
      <xdr:spPr>
        <a:xfrm>
          <a:off x="2771774" y="104775"/>
          <a:ext cx="13525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1"/>
              </a:solidFill>
              <a:latin typeface="Kulim Park" pitchFamily="2" charset="0"/>
              <a:ea typeface="+mn-ea"/>
              <a:cs typeface="+mn-cs"/>
            </a:rPr>
            <a:t>Filter by Gender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ASH KUMAR" refreshedDate="45981.886277546299" createdVersion="8" refreshedVersion="8" minRefreshableVersion="3" recordCount="50" xr:uid="{FF868C26-AB7B-477D-9633-38980A1E3881}">
  <cacheSource type="worksheet">
    <worksheetSource name="Table1"/>
  </cacheSource>
  <cacheFields count="22">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6">
        <s v="Manager"/>
        <s v="Designer"/>
        <s v="HR Specialist"/>
        <s v="Developer"/>
        <s v="Analyst"/>
        <s v="Formula1" f="1"/>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ount="5">
        <n v="1"/>
        <n v="4"/>
        <n v="2"/>
        <n v="3"/>
        <n v="5"/>
      </sharedItems>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 name="Field1" numFmtId="0" formula=" 0" databaseField="0"/>
  </cacheFields>
  <calculatedItems count="1">
    <calculatedItem>
      <pivotArea cacheIndex="1" outline="0" fieldPosition="0">
        <references count="1">
          <reference field="6" count="1">
            <x v="5"/>
          </reference>
        </references>
      </pivotArea>
    </calculatedItem>
  </calculatedItems>
  <extLst>
    <ext xmlns:x14="http://schemas.microsoft.com/office/spreadsheetml/2009/9/main" uri="{725AE2AE-9491-48be-B2B4-4EB974FC3084}">
      <x14:pivotCacheDefinition pivotCacheId="870264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x v="0"/>
    <s v="Leadership Training"/>
    <x v="0"/>
    <s v="Certified Professional"/>
  </r>
  <r>
    <n v="9116"/>
    <s v="Gary Garcia"/>
    <x v="1"/>
    <n v="27"/>
    <x v="1"/>
    <x v="1"/>
    <x v="1"/>
    <x v="1"/>
    <s v="Ashley Simmons MD"/>
    <s v="2022-12-20"/>
    <x v="0"/>
    <x v="1"/>
    <n v="91091"/>
    <s v="B"/>
    <n v="1024"/>
    <s v="None"/>
    <n v="19"/>
    <x v="1"/>
    <s v="Excel Workshop"/>
    <x v="0"/>
    <s v="Certified Professional"/>
  </r>
  <r>
    <n v="5120"/>
    <s v="Jeremy Nguyen"/>
    <x v="1"/>
    <n v="34"/>
    <x v="1"/>
    <x v="2"/>
    <x v="2"/>
    <x v="2"/>
    <s v="Cassandra Duncan"/>
    <s v="2022-08-10"/>
    <x v="0"/>
    <x v="2"/>
    <n v="57538"/>
    <s v="D"/>
    <n v="1674"/>
    <s v="None"/>
    <n v="8"/>
    <x v="0"/>
    <s v="None"/>
    <x v="1"/>
    <s v="Advanced Training"/>
  </r>
  <r>
    <n v="8071"/>
    <s v="Kimberly Jones"/>
    <x v="0"/>
    <n v="41"/>
    <x v="2"/>
    <x v="2"/>
    <x v="0"/>
    <x v="3"/>
    <s v="Janet Harris"/>
    <s v="2024-09-03"/>
    <x v="1"/>
    <x v="0"/>
    <n v="62993"/>
    <s v="A"/>
    <n v="2695"/>
    <s v="Health + Dental"/>
    <n v="0"/>
    <x v="2"/>
    <s v="None"/>
    <x v="2"/>
    <s v="None"/>
  </r>
  <r>
    <n v="9351"/>
    <s v="Anthony Gates"/>
    <x v="1"/>
    <n v="56"/>
    <x v="3"/>
    <x v="0"/>
    <x v="0"/>
    <x v="2"/>
    <s v="Mr. Frank Clay"/>
    <s v="2019-03-14"/>
    <x v="1"/>
    <x v="1"/>
    <n v="45773"/>
    <s v="A"/>
    <n v="8776"/>
    <s v="Health"/>
    <n v="16"/>
    <x v="1"/>
    <s v="Leadership Training"/>
    <x v="2"/>
    <s v="None"/>
  </r>
  <r>
    <n v="2873"/>
    <s v="Courtney Foster"/>
    <x v="0"/>
    <n v="28"/>
    <x v="1"/>
    <x v="2"/>
    <x v="3"/>
    <x v="2"/>
    <s v="Dorothy Price"/>
    <s v="2017-01-23"/>
    <x v="0"/>
    <x v="1"/>
    <n v="96249"/>
    <s v="C"/>
    <n v="4826"/>
    <s v="Health + Dental"/>
    <n v="7"/>
    <x v="3"/>
    <s v="Leadership Training"/>
    <x v="3"/>
    <s v="Certified Professional"/>
  </r>
  <r>
    <n v="3540"/>
    <s v="Catherine Hall"/>
    <x v="0"/>
    <n v="20"/>
    <x v="0"/>
    <x v="1"/>
    <x v="2"/>
    <x v="2"/>
    <s v="Michele Sexton"/>
    <s v="2024-08-17"/>
    <x v="0"/>
    <x v="2"/>
    <n v="61596"/>
    <s v="C"/>
    <n v="8818"/>
    <s v="Health + Dental"/>
    <n v="4"/>
    <x v="2"/>
    <s v="Leadership Training"/>
    <x v="1"/>
    <s v="None"/>
  </r>
  <r>
    <n v="3653"/>
    <s v="Deanna Ball"/>
    <x v="0"/>
    <n v="58"/>
    <x v="3"/>
    <x v="3"/>
    <x v="1"/>
    <x v="4"/>
    <s v="Richard Schmidt"/>
    <s v="2014-12-09"/>
    <x v="0"/>
    <x v="2"/>
    <n v="97869"/>
    <s v="A"/>
    <n v="1966"/>
    <s v="Health"/>
    <n v="10"/>
    <x v="0"/>
    <s v="Leadership Training"/>
    <x v="0"/>
    <s v="Certified Professional"/>
  </r>
  <r>
    <n v="5587"/>
    <s v="Candace Nelson"/>
    <x v="0"/>
    <n v="44"/>
    <x v="2"/>
    <x v="3"/>
    <x v="2"/>
    <x v="2"/>
    <s v="Teresa Pearson"/>
    <s v="2021-06-28"/>
    <x v="0"/>
    <x v="0"/>
    <n v="81235"/>
    <s v="A"/>
    <n v="6553"/>
    <s v="None"/>
    <n v="16"/>
    <x v="2"/>
    <s v="None"/>
    <x v="1"/>
    <s v="Certified Professional"/>
  </r>
  <r>
    <n v="9554"/>
    <s v="Mandy Davis"/>
    <x v="0"/>
    <n v="29"/>
    <x v="1"/>
    <x v="1"/>
    <x v="2"/>
    <x v="3"/>
    <s v="Laura Hart"/>
    <s v="2018-05-20"/>
    <x v="0"/>
    <x v="1"/>
    <n v="87852"/>
    <s v="A"/>
    <n v="4980"/>
    <s v="Health + Dental"/>
    <n v="19"/>
    <x v="3"/>
    <s v="None"/>
    <x v="2"/>
    <s v="Certified Professional"/>
  </r>
  <r>
    <n v="6213"/>
    <s v="Matthew Powell"/>
    <x v="1"/>
    <n v="23"/>
    <x v="0"/>
    <x v="3"/>
    <x v="0"/>
    <x v="2"/>
    <s v="Andrea May"/>
    <s v="2017-02-13"/>
    <x v="1"/>
    <x v="1"/>
    <n v="59359"/>
    <s v="A"/>
    <n v="9449"/>
    <s v="Health + Dental"/>
    <n v="20"/>
    <x v="3"/>
    <s v="None"/>
    <x v="1"/>
    <s v="None"/>
  </r>
  <r>
    <n v="9105"/>
    <s v="Bruce Nelson"/>
    <x v="1"/>
    <n v="30"/>
    <x v="1"/>
    <x v="0"/>
    <x v="1"/>
    <x v="0"/>
    <s v="Casey Martin"/>
    <s v="2024-05-05"/>
    <x v="1"/>
    <x v="2"/>
    <n v="81225"/>
    <s v="D"/>
    <n v="6202"/>
    <s v="Health + Dental"/>
    <n v="2"/>
    <x v="2"/>
    <s v="Excel Workshop"/>
    <x v="4"/>
    <s v="Certified Professional"/>
  </r>
  <r>
    <n v="9508"/>
    <s v="Dawn Cole"/>
    <x v="0"/>
    <n v="49"/>
    <x v="4"/>
    <x v="1"/>
    <x v="0"/>
    <x v="0"/>
    <s v="Amber Allen"/>
    <s v="2022-04-19"/>
    <x v="1"/>
    <x v="0"/>
    <n v="32788"/>
    <s v="D"/>
    <n v="4396"/>
    <s v="Health"/>
    <n v="13"/>
    <x v="4"/>
    <s v="None"/>
    <x v="3"/>
    <s v="Advanced Training"/>
  </r>
  <r>
    <n v="2436"/>
    <s v="Tanner Morse"/>
    <x v="1"/>
    <n v="60"/>
    <x v="3"/>
    <x v="4"/>
    <x v="0"/>
    <x v="3"/>
    <s v="Adam Johnson"/>
    <s v="2015-11-16"/>
    <x v="1"/>
    <x v="2"/>
    <n v="70452"/>
    <s v="D"/>
    <n v="9911"/>
    <s v="None"/>
    <n v="2"/>
    <x v="0"/>
    <s v="None"/>
    <x v="3"/>
    <s v="Certified Professional"/>
  </r>
  <r>
    <n v="4441"/>
    <s v="Jose Griffin"/>
    <x v="1"/>
    <n v="46"/>
    <x v="4"/>
    <x v="1"/>
    <x v="3"/>
    <x v="0"/>
    <s v="Nicole Dominguez"/>
    <s v="2023-09-09"/>
    <x v="0"/>
    <x v="1"/>
    <n v="33045"/>
    <s v="B"/>
    <n v="1456"/>
    <s v="None"/>
    <n v="16"/>
    <x v="3"/>
    <s v="Excel Workshop"/>
    <x v="3"/>
    <s v="None"/>
  </r>
  <r>
    <n v="5827"/>
    <s v="Daniel Hawkins"/>
    <x v="1"/>
    <n v="57"/>
    <x v="3"/>
    <x v="2"/>
    <x v="3"/>
    <x v="1"/>
    <s v="Andrew Best"/>
    <s v="2017-12-12"/>
    <x v="2"/>
    <x v="2"/>
    <n v="96429"/>
    <s v="C"/>
    <n v="4740"/>
    <s v="None"/>
    <n v="8"/>
    <x v="0"/>
    <s v="Excel Workshop"/>
    <x v="2"/>
    <s v="None"/>
  </r>
  <r>
    <n v="5184"/>
    <s v="Elaine Mcclain"/>
    <x v="0"/>
    <n v="24"/>
    <x v="0"/>
    <x v="1"/>
    <x v="2"/>
    <x v="2"/>
    <s v="Gabrielle Rodriguez"/>
    <s v="2017-03-10"/>
    <x v="2"/>
    <x v="2"/>
    <n v="33183"/>
    <s v="A"/>
    <n v="8114"/>
    <s v="None"/>
    <n v="4"/>
    <x v="2"/>
    <s v="Excel Workshop"/>
    <x v="4"/>
    <s v="Advanced Training"/>
  </r>
  <r>
    <n v="5874"/>
    <s v="Kimberly Jones"/>
    <x v="0"/>
    <n v="35"/>
    <x v="1"/>
    <x v="4"/>
    <x v="3"/>
    <x v="0"/>
    <s v="Allison Harvey"/>
    <s v="2019-03-04"/>
    <x v="2"/>
    <x v="0"/>
    <n v="75065"/>
    <s v="C"/>
    <n v="7123"/>
    <s v="None"/>
    <n v="20"/>
    <x v="2"/>
    <s v="None"/>
    <x v="0"/>
    <s v="Advanced Training"/>
  </r>
  <r>
    <n v="9834"/>
    <s v="Thomas Kramer"/>
    <x v="1"/>
    <n v="41"/>
    <x v="2"/>
    <x v="1"/>
    <x v="1"/>
    <x v="4"/>
    <s v="Tristan Mejia"/>
    <s v="2022-11-20"/>
    <x v="0"/>
    <x v="2"/>
    <n v="32877"/>
    <s v="C"/>
    <n v="6432"/>
    <s v="Health"/>
    <n v="11"/>
    <x v="0"/>
    <s v="None"/>
    <x v="0"/>
    <s v="None"/>
  </r>
  <r>
    <n v="5096"/>
    <s v="Kevin Whitaker"/>
    <x v="1"/>
    <n v="36"/>
    <x v="2"/>
    <x v="1"/>
    <x v="4"/>
    <x v="3"/>
    <s v="Mary Welch"/>
    <s v="2021-03-02"/>
    <x v="0"/>
    <x v="1"/>
    <n v="46811"/>
    <s v="D"/>
    <n v="1567"/>
    <s v="None"/>
    <n v="7"/>
    <x v="3"/>
    <s v="Excel Workshop"/>
    <x v="0"/>
    <s v="Advanced Training"/>
  </r>
  <r>
    <n v="2263"/>
    <s v="Dustin Carter"/>
    <x v="1"/>
    <n v="31"/>
    <x v="1"/>
    <x v="3"/>
    <x v="2"/>
    <x v="1"/>
    <s v="Douglas Miles"/>
    <s v="2021-08-01"/>
    <x v="1"/>
    <x v="1"/>
    <n v="87538"/>
    <s v="C"/>
    <n v="3588"/>
    <s v="Health + Dental"/>
    <n v="11"/>
    <x v="4"/>
    <s v="Excel Workshop"/>
    <x v="2"/>
    <s v="None"/>
  </r>
  <r>
    <n v="6505"/>
    <s v="Nicole Williamson"/>
    <x v="0"/>
    <n v="28"/>
    <x v="1"/>
    <x v="0"/>
    <x v="1"/>
    <x v="4"/>
    <s v="Jessica Fleming"/>
    <s v="2015-08-14"/>
    <x v="0"/>
    <x v="1"/>
    <n v="73002"/>
    <s v="C"/>
    <n v="6296"/>
    <s v="Health"/>
    <n v="2"/>
    <x v="4"/>
    <s v="Excel Workshop"/>
    <x v="1"/>
    <s v="Certified Professional"/>
  </r>
  <r>
    <n v="8626"/>
    <s v="Matthew Knight"/>
    <x v="1"/>
    <n v="37"/>
    <x v="2"/>
    <x v="3"/>
    <x v="1"/>
    <x v="3"/>
    <s v="Christine Lee"/>
    <s v="2015-10-21"/>
    <x v="2"/>
    <x v="2"/>
    <n v="41653"/>
    <s v="D"/>
    <n v="9236"/>
    <s v="None"/>
    <n v="13"/>
    <x v="0"/>
    <s v="Excel Workshop"/>
    <x v="0"/>
    <s v="None"/>
  </r>
  <r>
    <n v="5979"/>
    <s v="Donna Jones"/>
    <x v="0"/>
    <n v="31"/>
    <x v="1"/>
    <x v="0"/>
    <x v="0"/>
    <x v="2"/>
    <s v="Mario Smith DVM"/>
    <s v="2015-03-14"/>
    <x v="1"/>
    <x v="1"/>
    <n v="67582"/>
    <s v="A"/>
    <n v="1375"/>
    <s v="Health"/>
    <n v="20"/>
    <x v="3"/>
    <s v="Excel Workshop"/>
    <x v="1"/>
    <s v="None"/>
  </r>
  <r>
    <n v="3104"/>
    <s v="Carolyn Bullock"/>
    <x v="0"/>
    <n v="23"/>
    <x v="0"/>
    <x v="3"/>
    <x v="1"/>
    <x v="1"/>
    <s v="Joseph Francis"/>
    <s v="2024-05-22"/>
    <x v="2"/>
    <x v="1"/>
    <n v="37351"/>
    <s v="D"/>
    <n v="7858"/>
    <s v="Health + Dental"/>
    <n v="18"/>
    <x v="2"/>
    <s v="Leadership Training"/>
    <x v="1"/>
    <s v="Advanced Training"/>
  </r>
  <r>
    <n v="8967"/>
    <s v="Wendy Gomez"/>
    <x v="0"/>
    <n v="48"/>
    <x v="4"/>
    <x v="4"/>
    <x v="2"/>
    <x v="0"/>
    <s v="Sarah Young"/>
    <s v="2017-03-19"/>
    <x v="0"/>
    <x v="1"/>
    <n v="36721"/>
    <s v="B"/>
    <n v="8820"/>
    <s v="Health + Dental"/>
    <n v="0"/>
    <x v="2"/>
    <s v="Excel Workshop"/>
    <x v="1"/>
    <s v="Certified Professional"/>
  </r>
  <r>
    <n v="5087"/>
    <s v="Michael Thomas"/>
    <x v="1"/>
    <n v="28"/>
    <x v="1"/>
    <x v="2"/>
    <x v="4"/>
    <x v="0"/>
    <s v="Aaron Hart"/>
    <s v="2021-09-15"/>
    <x v="1"/>
    <x v="2"/>
    <n v="46326"/>
    <s v="B"/>
    <n v="9189"/>
    <s v="Health + Dental"/>
    <n v="8"/>
    <x v="1"/>
    <s v="Leadership Training"/>
    <x v="3"/>
    <s v="Advanced Training"/>
  </r>
  <r>
    <n v="3358"/>
    <s v="Kevin Bell"/>
    <x v="1"/>
    <n v="30"/>
    <x v="1"/>
    <x v="1"/>
    <x v="3"/>
    <x v="1"/>
    <s v="Brian Boyd"/>
    <s v="2022-05-09"/>
    <x v="0"/>
    <x v="0"/>
    <n v="59007"/>
    <s v="C"/>
    <n v="3380"/>
    <s v="Health"/>
    <n v="17"/>
    <x v="3"/>
    <s v="None"/>
    <x v="4"/>
    <s v="Certified Professional"/>
  </r>
  <r>
    <n v="8256"/>
    <s v="Richard Landry"/>
    <x v="1"/>
    <n v="46"/>
    <x v="4"/>
    <x v="3"/>
    <x v="0"/>
    <x v="3"/>
    <s v="Steven Krueger"/>
    <s v="2017-06-22"/>
    <x v="0"/>
    <x v="1"/>
    <n v="52020"/>
    <s v="B"/>
    <n v="9585"/>
    <s v="Health + Dental"/>
    <n v="0"/>
    <x v="1"/>
    <s v="Excel Workshop"/>
    <x v="4"/>
    <s v="None"/>
  </r>
  <r>
    <n v="5763"/>
    <s v="George Hurley"/>
    <x v="1"/>
    <n v="44"/>
    <x v="2"/>
    <x v="1"/>
    <x v="2"/>
    <x v="1"/>
    <s v="Debra Williams"/>
    <s v="2020-11-28"/>
    <x v="2"/>
    <x v="1"/>
    <n v="98961"/>
    <s v="D"/>
    <n v="2688"/>
    <s v="Health"/>
    <n v="2"/>
    <x v="4"/>
    <s v="Excel Workshop"/>
    <x v="4"/>
    <s v="Certified Professional"/>
  </r>
  <r>
    <n v="6838"/>
    <s v="Mark Lopez"/>
    <x v="1"/>
    <n v="45"/>
    <x v="2"/>
    <x v="2"/>
    <x v="3"/>
    <x v="2"/>
    <s v="Karen Mitchell"/>
    <s v="2015-08-30"/>
    <x v="2"/>
    <x v="1"/>
    <n v="81943"/>
    <s v="C"/>
    <n v="2255"/>
    <s v="Health"/>
    <n v="18"/>
    <x v="2"/>
    <s v="None"/>
    <x v="2"/>
    <s v="Certified Professional"/>
  </r>
  <r>
    <n v="9544"/>
    <s v="Robert Williams"/>
    <x v="1"/>
    <n v="52"/>
    <x v="4"/>
    <x v="4"/>
    <x v="2"/>
    <x v="1"/>
    <s v="Joseph Sanders"/>
    <s v="2018-10-27"/>
    <x v="2"/>
    <x v="1"/>
    <n v="47627"/>
    <s v="C"/>
    <n v="1221"/>
    <s v="None"/>
    <n v="4"/>
    <x v="3"/>
    <s v="None"/>
    <x v="1"/>
    <s v="None"/>
  </r>
  <r>
    <n v="8012"/>
    <s v="Mary Schmidt"/>
    <x v="0"/>
    <n v="52"/>
    <x v="4"/>
    <x v="0"/>
    <x v="0"/>
    <x v="4"/>
    <s v="Shelly George"/>
    <s v="2018-08-26"/>
    <x v="2"/>
    <x v="1"/>
    <n v="56162"/>
    <s v="D"/>
    <n v="6560"/>
    <s v="Health + Dental"/>
    <n v="9"/>
    <x v="1"/>
    <s v="Excel Workshop"/>
    <x v="3"/>
    <s v="None"/>
  </r>
  <r>
    <n v="9374"/>
    <s v="Mary Martinez"/>
    <x v="0"/>
    <n v="42"/>
    <x v="2"/>
    <x v="1"/>
    <x v="2"/>
    <x v="2"/>
    <s v="Nicole Houston"/>
    <s v="2023-07-24"/>
    <x v="1"/>
    <x v="2"/>
    <n v="95734"/>
    <s v="C"/>
    <n v="4854"/>
    <s v="Health"/>
    <n v="13"/>
    <x v="2"/>
    <s v="Leadership Training"/>
    <x v="0"/>
    <s v="Certified Professional"/>
  </r>
  <r>
    <n v="3487"/>
    <s v="Paul Hall"/>
    <x v="1"/>
    <n v="58"/>
    <x v="3"/>
    <x v="1"/>
    <x v="1"/>
    <x v="3"/>
    <s v="Kristin Shaffer"/>
    <s v="2018-07-09"/>
    <x v="1"/>
    <x v="2"/>
    <n v="74789"/>
    <s v="C"/>
    <n v="8101"/>
    <s v="Health + Dental"/>
    <n v="14"/>
    <x v="4"/>
    <s v="Excel Workshop"/>
    <x v="2"/>
    <s v="None"/>
  </r>
  <r>
    <n v="8445"/>
    <s v="Samantha Foster"/>
    <x v="0"/>
    <n v="24"/>
    <x v="0"/>
    <x v="4"/>
    <x v="0"/>
    <x v="3"/>
    <s v="Joel Aguilar"/>
    <s v="2016-12-21"/>
    <x v="0"/>
    <x v="2"/>
    <n v="30137"/>
    <s v="B"/>
    <n v="4031"/>
    <s v="None"/>
    <n v="5"/>
    <x v="3"/>
    <s v="None"/>
    <x v="1"/>
    <s v="Certified Professional"/>
  </r>
  <r>
    <n v="1550"/>
    <s v="Timothy Aguilar"/>
    <x v="1"/>
    <n v="21"/>
    <x v="0"/>
    <x v="1"/>
    <x v="0"/>
    <x v="0"/>
    <s v="Michael Wade"/>
    <s v="2019-06-27"/>
    <x v="0"/>
    <x v="2"/>
    <n v="95510"/>
    <s v="C"/>
    <n v="6811"/>
    <s v="Health"/>
    <n v="18"/>
    <x v="1"/>
    <s v="Excel Workshop"/>
    <x v="4"/>
    <s v="Certified Professional"/>
  </r>
  <r>
    <n v="9968"/>
    <s v="Charles Andrews"/>
    <x v="1"/>
    <n v="58"/>
    <x v="3"/>
    <x v="1"/>
    <x v="3"/>
    <x v="0"/>
    <s v="Jessica Walsh"/>
    <s v="2021-08-27"/>
    <x v="1"/>
    <x v="0"/>
    <n v="80325"/>
    <s v="B"/>
    <n v="6230"/>
    <s v="Health"/>
    <n v="5"/>
    <x v="1"/>
    <s v="None"/>
    <x v="2"/>
    <s v="Advanced Training"/>
  </r>
  <r>
    <n v="8029"/>
    <s v="Veronica Nelson"/>
    <x v="0"/>
    <n v="57"/>
    <x v="3"/>
    <x v="3"/>
    <x v="4"/>
    <x v="4"/>
    <s v="Kelly Mack"/>
    <s v="2017-05-28"/>
    <x v="2"/>
    <x v="1"/>
    <n v="34109"/>
    <s v="B"/>
    <n v="9232"/>
    <s v="Health"/>
    <n v="13"/>
    <x v="3"/>
    <s v="Leadership Training"/>
    <x v="0"/>
    <s v="Certified Professional"/>
  </r>
  <r>
    <n v="8847"/>
    <s v="Chris Sanchez"/>
    <x v="1"/>
    <n v="41"/>
    <x v="2"/>
    <x v="3"/>
    <x v="3"/>
    <x v="0"/>
    <s v="John Conley"/>
    <s v="2022-01-30"/>
    <x v="2"/>
    <x v="2"/>
    <n v="73330"/>
    <s v="C"/>
    <n v="2276"/>
    <s v="Health + Dental"/>
    <n v="5"/>
    <x v="0"/>
    <s v="None"/>
    <x v="1"/>
    <s v="Advanced Training"/>
  </r>
  <r>
    <n v="1955"/>
    <s v="Cassie Galvan"/>
    <x v="0"/>
    <n v="58"/>
    <x v="3"/>
    <x v="2"/>
    <x v="2"/>
    <x v="1"/>
    <s v="Aaron Baker"/>
    <s v="2017-04-20"/>
    <x v="1"/>
    <x v="2"/>
    <n v="46567"/>
    <s v="A"/>
    <n v="2825"/>
    <s v="Health"/>
    <n v="15"/>
    <x v="3"/>
    <s v="None"/>
    <x v="4"/>
    <s v="Advanced Training"/>
  </r>
  <r>
    <n v="4522"/>
    <s v="Jessica Jones"/>
    <x v="0"/>
    <n v="36"/>
    <x v="2"/>
    <x v="0"/>
    <x v="4"/>
    <x v="0"/>
    <s v="Christopher Bass"/>
    <s v="2019-07-22"/>
    <x v="1"/>
    <x v="1"/>
    <n v="39795"/>
    <s v="A"/>
    <n v="1670"/>
    <s v="None"/>
    <n v="0"/>
    <x v="2"/>
    <s v="Excel Workshop"/>
    <x v="3"/>
    <s v="None"/>
  </r>
  <r>
    <n v="3078"/>
    <s v="Emily Walker"/>
    <x v="0"/>
    <n v="21"/>
    <x v="0"/>
    <x v="0"/>
    <x v="0"/>
    <x v="4"/>
    <s v="Sean Tucker PhD"/>
    <s v="2018-11-29"/>
    <x v="1"/>
    <x v="2"/>
    <n v="59506"/>
    <s v="A"/>
    <n v="4428"/>
    <s v="Health + Dental"/>
    <n v="0"/>
    <x v="0"/>
    <s v="None"/>
    <x v="3"/>
    <s v="Certified Professional"/>
  </r>
  <r>
    <n v="6357"/>
    <s v="Vickie Lewis"/>
    <x v="0"/>
    <n v="46"/>
    <x v="4"/>
    <x v="2"/>
    <x v="1"/>
    <x v="4"/>
    <s v="Jacob Scott"/>
    <s v="2022-11-14"/>
    <x v="1"/>
    <x v="2"/>
    <n v="49058"/>
    <s v="B"/>
    <n v="4396"/>
    <s v="None"/>
    <n v="5"/>
    <x v="0"/>
    <s v="None"/>
    <x v="3"/>
    <s v="None"/>
  </r>
  <r>
    <n v="7951"/>
    <s v="Alexis Clark"/>
    <x v="0"/>
    <n v="36"/>
    <x v="2"/>
    <x v="3"/>
    <x v="2"/>
    <x v="4"/>
    <s v="Joel Park"/>
    <s v="2016-02-23"/>
    <x v="1"/>
    <x v="0"/>
    <n v="98612"/>
    <s v="A"/>
    <n v="1168"/>
    <s v="None"/>
    <n v="9"/>
    <x v="2"/>
    <s v="Excel Workshop"/>
    <x v="0"/>
    <s v="Certified Professional"/>
  </r>
  <r>
    <n v="9228"/>
    <s v="Robert Davis"/>
    <x v="1"/>
    <n v="41"/>
    <x v="2"/>
    <x v="4"/>
    <x v="3"/>
    <x v="1"/>
    <s v="Russell Marshall"/>
    <s v="2018-05-18"/>
    <x v="2"/>
    <x v="1"/>
    <n v="38201"/>
    <s v="A"/>
    <n v="7111"/>
    <s v="Health"/>
    <n v="8"/>
    <x v="1"/>
    <s v="Leadership Training"/>
    <x v="3"/>
    <s v="None"/>
  </r>
  <r>
    <n v="8988"/>
    <s v="Daniel Brown MD"/>
    <x v="1"/>
    <n v="25"/>
    <x v="0"/>
    <x v="0"/>
    <x v="2"/>
    <x v="2"/>
    <s v="James Holden"/>
    <s v="2024-03-09"/>
    <x v="2"/>
    <x v="1"/>
    <n v="92919"/>
    <s v="D"/>
    <n v="9497"/>
    <s v="Health"/>
    <n v="7"/>
    <x v="2"/>
    <s v="None"/>
    <x v="3"/>
    <s v="Advanced Training"/>
  </r>
  <r>
    <n v="1952"/>
    <s v="Anna Payne"/>
    <x v="0"/>
    <n v="29"/>
    <x v="1"/>
    <x v="4"/>
    <x v="0"/>
    <x v="1"/>
    <s v="Thomas Murphy"/>
    <s v="2024-03-27"/>
    <x v="0"/>
    <x v="2"/>
    <n v="45188"/>
    <s v="A"/>
    <n v="9591"/>
    <s v="Health + Dental"/>
    <n v="18"/>
    <x v="3"/>
    <s v="Leadership Training"/>
    <x v="3"/>
    <s v="None"/>
  </r>
  <r>
    <n v="5760"/>
    <s v="Rhonda Pena"/>
    <x v="0"/>
    <n v="59"/>
    <x v="3"/>
    <x v="2"/>
    <x v="1"/>
    <x v="0"/>
    <s v="Mark Abbott"/>
    <s v="2019-12-23"/>
    <x v="0"/>
    <x v="1"/>
    <n v="34927"/>
    <s v="D"/>
    <n v="6996"/>
    <s v="Health + Dental"/>
    <n v="16"/>
    <x v="0"/>
    <s v="Excel Workshop"/>
    <x v="0"/>
    <s v="Certified Professional"/>
  </r>
  <r>
    <n v="5742"/>
    <s v="Nicole Gonzalez"/>
    <x v="0"/>
    <n v="27"/>
    <x v="1"/>
    <x v="0"/>
    <x v="2"/>
    <x v="3"/>
    <s v="Robin Lynch"/>
    <s v="2016-08-25"/>
    <x v="0"/>
    <x v="1"/>
    <n v="33183"/>
    <s v="A"/>
    <n v="1659"/>
    <s v="None"/>
    <n v="11"/>
    <x v="0"/>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9094A3-37D8-4214-98C8-49C1F9BDA3B9}" name="Skill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X8" firstHeaderRow="1" firstDataRow="1" firstDataCol="1"/>
  <pivotFields count="22">
    <pivotField showAll="0"/>
    <pivotField dataField="1" showAll="0"/>
    <pivotField showAll="0">
      <items count="3">
        <item x="0"/>
        <item x="1"/>
        <item t="default"/>
      </items>
    </pivotField>
    <pivotField showAll="0"/>
    <pivotField showAll="0"/>
    <pivotField showAll="0"/>
    <pivotField showAll="0">
      <items count="7">
        <item x="4"/>
        <item x="1"/>
        <item x="3"/>
        <item x="2"/>
        <item x="0"/>
        <item f="1" x="5"/>
        <item t="default"/>
      </items>
    </pivotField>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 dragToRow="0" dragToCol="0" dragToPage="0" showAll="0" defaultSubtota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F0E8A0-DD4E-4F6D-8F46-4E1EB1D662FE}" name="salarie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F9" firstHeaderRow="0" firstDataRow="1" firstDataCol="1"/>
  <pivotFields count="22">
    <pivotField showAll="0"/>
    <pivotField showAll="0"/>
    <pivotField showAll="0">
      <items count="3">
        <item x="0"/>
        <item x="1"/>
        <item t="default"/>
      </items>
    </pivotField>
    <pivotField showAll="0"/>
    <pivotField showAll="0"/>
    <pivotField showAll="0"/>
    <pivotField axis="axisRow" showAll="0">
      <items count="7">
        <item x="4"/>
        <item n="a1" f="1" x="5"/>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dragToRow="0" dragToCol="0" dragToPage="0" showAll="0" defaultSubtotal="0"/>
  </pivotFields>
  <rowFields count="1">
    <field x="6"/>
  </rowFields>
  <rowItems count="7">
    <i>
      <x/>
    </i>
    <i>
      <x v="1"/>
    </i>
    <i>
      <x v="2"/>
    </i>
    <i>
      <x v="3"/>
    </i>
    <i>
      <x v="4"/>
    </i>
    <i>
      <x v="5"/>
    </i>
    <i t="grand">
      <x/>
    </i>
  </rowItems>
  <colFields count="1">
    <field x="-2"/>
  </colFields>
  <colItems count="2">
    <i>
      <x/>
    </i>
    <i i="1">
      <x v="1"/>
    </i>
  </colItems>
  <dataFields count="2">
    <dataField name="Sum of Salary" fld="12" baseField="0" baseItem="0"/>
    <dataField name="Sum of Leave Taken" fld="16" baseField="0" baseItem="0"/>
  </dataFields>
  <formats count="7">
    <format dxfId="436">
      <pivotArea type="all" dataOnly="0" outline="0" fieldPosition="0"/>
    </format>
    <format dxfId="435">
      <pivotArea outline="0" collapsedLevelsAreSubtotals="1" fieldPosition="0"/>
    </format>
    <format dxfId="434">
      <pivotArea field="6" type="button" dataOnly="0" labelOnly="1" outline="0" axis="axisRow" fieldPosition="0"/>
    </format>
    <format dxfId="433">
      <pivotArea dataOnly="0" labelOnly="1" fieldPosition="0">
        <references count="1">
          <reference field="6" count="0"/>
        </references>
      </pivotArea>
    </format>
    <format dxfId="432">
      <pivotArea dataOnly="0" labelOnly="1" grandRow="1" outline="0" fieldPosition="0"/>
    </format>
    <format dxfId="431">
      <pivotArea dataOnly="0" labelOnly="1" outline="0" axis="axisValues" fieldPosition="0"/>
    </format>
    <format dxfId="430">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E3FBAA-31FD-4BF1-B4B9-5D216E023F99}" name="Work plac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6" firstHeaderRow="1" firstDataRow="1" firstDataCol="1"/>
  <pivotFields count="22">
    <pivotField showAll="0"/>
    <pivotField dataField="1" showAll="0"/>
    <pivotField showAll="0">
      <items count="3">
        <item x="0"/>
        <item x="1"/>
        <item t="default"/>
      </items>
    </pivotField>
    <pivotField showAll="0"/>
    <pivotField showAll="0"/>
    <pivotField showAll="0"/>
    <pivotField showAll="0">
      <items count="7">
        <item x="4"/>
        <item x="1"/>
        <item x="3"/>
        <item x="2"/>
        <item x="0"/>
        <item f="1" x="5"/>
        <item t="default"/>
      </items>
    </pivotField>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192D89-696C-4E2D-8BD4-FCF5B19DC4A7}"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3:AN9" firstHeaderRow="1" firstDataRow="1" firstDataCol="1"/>
  <pivotFields count="22">
    <pivotField showAll="0"/>
    <pivotField showAll="0"/>
    <pivotField showAll="0">
      <items count="3">
        <item x="0"/>
        <item x="1"/>
        <item t="default"/>
      </items>
    </pivotField>
    <pivotField showAll="0"/>
    <pivotField showAll="0"/>
    <pivotField showAll="0"/>
    <pivotField showAll="0">
      <items count="7">
        <item x="4"/>
        <item x="1"/>
        <item x="3"/>
        <item f="1" x="5"/>
        <item x="2"/>
        <item x="0"/>
        <item t="default"/>
      </items>
    </pivotField>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items count="6">
        <item x="0"/>
        <item x="2"/>
        <item x="3"/>
        <item x="1"/>
        <item x="4"/>
        <item t="default"/>
      </items>
    </pivotField>
    <pivotField showAll="0"/>
    <pivotField showAll="0"/>
    <pivotField showAll="0"/>
    <pivotField dragToRow="0" dragToCol="0" dragToPage="0" showAll="0" defaultSubtotal="0"/>
  </pivotFields>
  <rowFields count="1">
    <field x="7"/>
  </rowFields>
  <rowItems count="6">
    <i>
      <x/>
    </i>
    <i>
      <x v="1"/>
    </i>
    <i>
      <x v="2"/>
    </i>
    <i>
      <x v="3"/>
    </i>
    <i>
      <x v="4"/>
    </i>
    <i t="grand">
      <x/>
    </i>
  </rowItems>
  <colItems count="1">
    <i/>
  </colItems>
  <dataFields count="1">
    <dataField name="Sum of Performance Rating"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C018DF-2AF0-4236-9E56-DDED69B4C344}"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F3:AG9" firstHeaderRow="1" firstDataRow="1" firstDataCol="1"/>
  <pivotFields count="22">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items count="7">
        <item x="4"/>
        <item x="1"/>
        <item x="3"/>
        <item f="1" x="5"/>
        <item x="2"/>
        <item x="0"/>
        <item t="default"/>
      </items>
    </pivotField>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5"/>
  </rowFields>
  <rowItems count="6">
    <i>
      <x/>
    </i>
    <i>
      <x v="1"/>
    </i>
    <i>
      <x v="2"/>
    </i>
    <i>
      <x v="3"/>
    </i>
    <i>
      <x v="4"/>
    </i>
    <i t="grand">
      <x/>
    </i>
  </rowItems>
  <colItems count="1">
    <i/>
  </colItems>
  <dataFields count="1">
    <dataField name="Count of Full Name"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09CEF6-4AD3-49EF-82A8-C008273EFBEE}" name="emp stau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22">
    <pivotField showAll="0"/>
    <pivotField dataField="1" showAll="0"/>
    <pivotField showAll="0">
      <items count="3">
        <item x="0"/>
        <item x="1"/>
        <item t="default"/>
      </items>
    </pivotField>
    <pivotField showAll="0"/>
    <pivotField showAll="0"/>
    <pivotField showAll="0"/>
    <pivotField showAll="0">
      <items count="7">
        <item x="4"/>
        <item x="1"/>
        <item x="3"/>
        <item x="2"/>
        <item x="0"/>
        <item f="1" x="5"/>
        <item t="default"/>
      </items>
    </pivotField>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0"/>
  </rowFields>
  <rowItems count="4">
    <i>
      <x/>
    </i>
    <i>
      <x v="1"/>
    </i>
    <i>
      <x v="2"/>
    </i>
    <i t="grand">
      <x/>
    </i>
  </rowItems>
  <colItems count="1">
    <i/>
  </colItems>
  <dataFields count="1">
    <dataField name="Count of Full Name" fld="1" subtotal="count" baseField="0" baseItem="0"/>
  </dataFields>
  <formats count="6">
    <format dxfId="442">
      <pivotArea type="all" dataOnly="0" outline="0" fieldPosition="0"/>
    </format>
    <format dxfId="441">
      <pivotArea outline="0" collapsedLevelsAreSubtotals="1" fieldPosition="0"/>
    </format>
    <format dxfId="440">
      <pivotArea field="10" type="button" dataOnly="0" labelOnly="1" outline="0" axis="axisRow" fieldPosition="0"/>
    </format>
    <format dxfId="439">
      <pivotArea dataOnly="0" labelOnly="1" fieldPosition="0">
        <references count="1">
          <reference field="10" count="0"/>
        </references>
      </pivotArea>
    </format>
    <format dxfId="438">
      <pivotArea dataOnly="0" labelOnly="1" grandRow="1" outline="0" fieldPosition="0"/>
    </format>
    <format dxfId="4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EFF3E6-CAF7-4E67-AA44-37D85656B34E}" name="Age rang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J9" firstHeaderRow="1" firstDataRow="2" firstDataCol="1"/>
  <pivotFields count="22">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items count="7">
        <item x="4"/>
        <item x="1"/>
        <item x="3"/>
        <item x="2"/>
        <item x="0"/>
        <item f="1" x="5"/>
        <item t="default"/>
      </items>
    </pivotField>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8E0858-8E87-4B09-AFA0-71327AF9A3C6}"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C10" firstHeaderRow="0" firstDataRow="1" firstDataCol="1"/>
  <pivotFields count="22">
    <pivotField showAll="0"/>
    <pivotField showAll="0"/>
    <pivotField showAll="0">
      <items count="3">
        <item x="0"/>
        <item x="1"/>
        <item t="default"/>
      </items>
    </pivotField>
    <pivotField showAll="0"/>
    <pivotField showAll="0"/>
    <pivotField showAll="0"/>
    <pivotField axis="axisRow" showAll="0">
      <items count="7">
        <item x="4"/>
        <item x="1"/>
        <item x="3"/>
        <item n="---" f="1" x="5"/>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dragToRow="0" dragToCol="0" dragToPage="0" showAll="0" defaultSubtotal="0"/>
  </pivotFields>
  <rowFields count="1">
    <field x="6"/>
  </rowFields>
  <rowItems count="7">
    <i>
      <x/>
    </i>
    <i>
      <x v="1"/>
    </i>
    <i>
      <x v="2"/>
    </i>
    <i>
      <x v="3"/>
    </i>
    <i>
      <x v="4"/>
    </i>
    <i>
      <x v="5"/>
    </i>
    <i t="grand">
      <x/>
    </i>
  </rowItems>
  <colFields count="1">
    <field x="-2"/>
  </colFields>
  <colItems count="2">
    <i>
      <x/>
    </i>
    <i i="1">
      <x v="1"/>
    </i>
  </colItems>
  <dataFields count="2">
    <dataField name="Sum of Salary" fld="12" baseField="0" baseItem="0"/>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ED22067-8379-4FF2-B9B5-6B6AB9553652}" sourceName="Gender">
  <pivotTables>
    <pivotTable tabId="2" name="Skills"/>
    <pivotTable tabId="2" name="Age range"/>
    <pivotTable tabId="2" name="emp staus"/>
    <pivotTable tabId="2" name="PivotTable6"/>
    <pivotTable tabId="2" name="PivotTable7"/>
    <pivotTable tabId="2" name="PivotTable8"/>
    <pivotTable tabId="2" name="salaries"/>
    <pivotTable tabId="2" name="Work place"/>
  </pivotTables>
  <data>
    <tabular pivotCacheId="87026490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86B6917-1554-4856-9E76-B561F79B3D27}" sourceName="Department">
  <pivotTables>
    <pivotTable tabId="2" name="Skills"/>
    <pivotTable tabId="2" name="Age range"/>
    <pivotTable tabId="2" name="emp staus"/>
    <pivotTable tabId="2" name="PivotTable6"/>
    <pivotTable tabId="2" name="PivotTable7"/>
    <pivotTable tabId="2" name="PivotTable8"/>
    <pivotTable tabId="2" name="salaries"/>
    <pivotTable tabId="2" name="Work place"/>
  </pivotTables>
  <data>
    <tabular pivotCacheId="870264903">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416F4DF-A1E3-4A68-B17D-29C7CD618932}" cache="Slicer_Gender" caption="Gender" columnCount="2" style="Slicer Style 1" rowHeight="255600"/>
  <slicer name="Department" xr10:uid="{6BA0B252-F638-4205-B054-C9658738403C}" cache="Slicer_Department" caption="Department" columnCount="3"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465" dataDxfId="464">
  <autoFilter ref="A1:U51" xr:uid="{BD7F130C-4931-4EC9-8AE2-A64F6556D3A3}"/>
  <tableColumns count="21">
    <tableColumn id="1" xr3:uid="{6BDBB43D-1DF4-4FF3-9C56-0E3D699A83FC}" name="Employee ID" dataDxfId="463"/>
    <tableColumn id="2" xr3:uid="{363D91B7-21AD-4B4B-86DE-95D24769EAA5}" name="Full Name" dataDxfId="462"/>
    <tableColumn id="3" xr3:uid="{728245EC-9766-45F5-9851-7FEFEFBE2652}" name="Gender" dataDxfId="461"/>
    <tableColumn id="4" xr3:uid="{DD8A90D1-163F-4B0E-A039-9E7A16AFC106}" name="Age" dataDxfId="460"/>
    <tableColumn id="5" xr3:uid="{0672993B-A00D-49AE-84B7-674089468A17}" name="Age range" dataDxfId="459"/>
    <tableColumn id="6" xr3:uid="{B1ADEE80-60F1-4EE3-B3FB-8484EE6C17B3}" name="Region" dataDxfId="458"/>
    <tableColumn id="7" xr3:uid="{8E0A56EE-3456-4513-ADA0-27F6CAA8C17B}" name="Job Title" dataDxfId="457"/>
    <tableColumn id="8" xr3:uid="{0D9D5DB9-01CB-4300-B0CD-256901621ADC}" name="Department" dataDxfId="456"/>
    <tableColumn id="9" xr3:uid="{9EBDAC3F-6A39-4A78-B562-848691EE3AD1}" name="Manager/Supervisor" dataDxfId="455"/>
    <tableColumn id="10" xr3:uid="{AF849F24-150A-4123-B3F8-A46B4D4F7BC6}" name="Date of Hire" dataDxfId="454"/>
    <tableColumn id="11" xr3:uid="{8C57202E-334A-462A-9C44-E5E2468122E4}" name="Employment Status" dataDxfId="453"/>
    <tableColumn id="12" xr3:uid="{8A07812C-245C-4D55-A210-3AE7E0BB84EB}" name="Work Location" dataDxfId="452"/>
    <tableColumn id="13" xr3:uid="{6441036C-01DD-4130-8E4B-DBA441BCB744}" name="Salary" dataDxfId="451"/>
    <tableColumn id="14" xr3:uid="{ADCF531A-A98E-422C-939D-04D58C2423FB}" name="Pay Grade" dataDxfId="450"/>
    <tableColumn id="15" xr3:uid="{DE922695-AE31-4F31-8F89-61E6E7E646AB}" name="Bonus/Allowances" dataDxfId="449"/>
    <tableColumn id="16" xr3:uid="{62F2B816-9954-4A01-AEDC-4C13B3A2A52F}" name="Insurance Details" dataDxfId="448"/>
    <tableColumn id="17" xr3:uid="{6EFEC335-9B75-45D5-B403-A8A9E557BE24}" name="Leave Taken" dataDxfId="447"/>
    <tableColumn id="18" xr3:uid="{9DA1B78E-154E-42E4-A1BC-FE1CF363DCBA}" name="Performance Rating" dataDxfId="446"/>
    <tableColumn id="19" xr3:uid="{7E4B5E79-5639-4E3A-91A1-D1D8767BB705}" name="Training Programs Attended" dataDxfId="445"/>
    <tableColumn id="20" xr3:uid="{2E731344-8C6D-4001-9E36-F16B80500F61}" name="Skills" dataDxfId="444"/>
    <tableColumn id="21" xr3:uid="{9DCE550B-F788-4423-B330-CAB70C041DFC}" name="Certifications" dataDxfId="44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A2" workbookViewId="0">
      <selection sqref="A1:U51"/>
    </sheetView>
  </sheetViews>
  <sheetFormatPr defaultColWidth="9.109375" defaultRowHeight="13.8" x14ac:dyDescent="0.3"/>
  <cols>
    <col min="1" max="1" width="18"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x14ac:dyDescent="0.3">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x14ac:dyDescent="0.3">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x14ac:dyDescent="0.3">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x14ac:dyDescent="0.3">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x14ac:dyDescent="0.3">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x14ac:dyDescent="0.3">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x14ac:dyDescent="0.3">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x14ac:dyDescent="0.3">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x14ac:dyDescent="0.3">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x14ac:dyDescent="0.3">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x14ac:dyDescent="0.3">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x14ac:dyDescent="0.3">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x14ac:dyDescent="0.3">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x14ac:dyDescent="0.3">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x14ac:dyDescent="0.3">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x14ac:dyDescent="0.3">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x14ac:dyDescent="0.3">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x14ac:dyDescent="0.3">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x14ac:dyDescent="0.3">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x14ac:dyDescent="0.3">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x14ac:dyDescent="0.3">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x14ac:dyDescent="0.3">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x14ac:dyDescent="0.3">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x14ac:dyDescent="0.3">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x14ac:dyDescent="0.3">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x14ac:dyDescent="0.3">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x14ac:dyDescent="0.3">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x14ac:dyDescent="0.3">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x14ac:dyDescent="0.3">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x14ac:dyDescent="0.3">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x14ac:dyDescent="0.3">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x14ac:dyDescent="0.3">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x14ac:dyDescent="0.3">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x14ac:dyDescent="0.3">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x14ac:dyDescent="0.3">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x14ac:dyDescent="0.3">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x14ac:dyDescent="0.3">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x14ac:dyDescent="0.3">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x14ac:dyDescent="0.3">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x14ac:dyDescent="0.3">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x14ac:dyDescent="0.3">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x14ac:dyDescent="0.3">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x14ac:dyDescent="0.3">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x14ac:dyDescent="0.3">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x14ac:dyDescent="0.3">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x14ac:dyDescent="0.3">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x14ac:dyDescent="0.3">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x14ac:dyDescent="0.3">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x14ac:dyDescent="0.3">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DD0ED-E504-4821-BB85-B5DF5F24B7B4}">
  <dimension ref="A1:AO21"/>
  <sheetViews>
    <sheetView topLeftCell="O1" zoomScale="85" zoomScaleNormal="85" workbookViewId="0">
      <selection activeCell="T6" sqref="T6"/>
    </sheetView>
  </sheetViews>
  <sheetFormatPr defaultRowHeight="13.8" x14ac:dyDescent="0.25"/>
  <cols>
    <col min="1" max="1" width="14.6640625" style="4" bestFit="1" customWidth="1"/>
    <col min="2" max="2" width="20" style="4" bestFit="1" customWidth="1"/>
    <col min="3" max="3" width="8.88671875" style="4"/>
    <col min="4" max="4" width="14.6640625" style="4" bestFit="1" customWidth="1"/>
    <col min="5" max="5" width="14.88671875" style="4" bestFit="1" customWidth="1"/>
    <col min="6" max="6" width="21.109375" style="4" bestFit="1" customWidth="1"/>
    <col min="7" max="7" width="17.21875" style="4" bestFit="1" customWidth="1"/>
    <col min="8" max="8" width="16.21875" style="4" bestFit="1" customWidth="1"/>
    <col min="9" max="9" width="5.109375" style="4" bestFit="1" customWidth="1"/>
    <col min="10" max="10" width="10.5546875" style="4" bestFit="1" customWidth="1"/>
    <col min="11" max="11" width="8.88671875" style="4"/>
    <col min="12" max="12" width="13" style="4" bestFit="1" customWidth="1"/>
    <col min="13" max="13" width="17.21875" style="4" bestFit="1" customWidth="1"/>
    <col min="14" max="22" width="8.88671875" style="4"/>
    <col min="23" max="23" width="14.77734375" style="4" bestFit="1" customWidth="1"/>
    <col min="24" max="24" width="17.21875" style="4" bestFit="1" customWidth="1"/>
    <col min="25" max="26" width="8.88671875" style="4"/>
    <col min="27" max="27" width="13" style="4" bestFit="1" customWidth="1"/>
    <col min="28" max="28" width="12.6640625" style="4" bestFit="1" customWidth="1"/>
    <col min="29" max="29" width="18" style="4" bestFit="1" customWidth="1"/>
    <col min="30" max="31" width="8.88671875" style="4"/>
    <col min="32" max="32" width="13" style="4" bestFit="1" customWidth="1"/>
    <col min="33" max="33" width="17.21875" style="4" bestFit="1" customWidth="1"/>
    <col min="34" max="35" width="8.88671875" style="4"/>
    <col min="36" max="36" width="13" style="4" bestFit="1" customWidth="1"/>
    <col min="37" max="37" width="24.5546875" style="4" bestFit="1" customWidth="1"/>
    <col min="38" max="38" width="8.88671875" style="4"/>
    <col min="39" max="39" width="13" style="4" bestFit="1" customWidth="1"/>
    <col min="40" max="40" width="24.5546875" style="4" bestFit="1" customWidth="1"/>
    <col min="41" max="16384" width="8.88671875" style="4"/>
  </cols>
  <sheetData>
    <row r="1" spans="1:41" x14ac:dyDescent="0.25">
      <c r="A1" s="16" t="s">
        <v>217</v>
      </c>
      <c r="B1" s="16"/>
      <c r="D1" s="16" t="s">
        <v>221</v>
      </c>
      <c r="E1" s="16"/>
      <c r="G1" s="16" t="s">
        <v>223</v>
      </c>
      <c r="H1" s="16"/>
      <c r="I1" s="16"/>
      <c r="J1" s="16"/>
      <c r="L1" s="16" t="s">
        <v>224</v>
      </c>
      <c r="M1" s="16"/>
      <c r="W1" s="16" t="s">
        <v>19</v>
      </c>
      <c r="X1" s="16"/>
    </row>
    <row r="2" spans="1:41" ht="14.4" x14ac:dyDescent="0.3">
      <c r="A2" s="8" t="s">
        <v>214</v>
      </c>
      <c r="B2" s="4" t="s">
        <v>216</v>
      </c>
      <c r="D2" s="8" t="s">
        <v>214</v>
      </c>
      <c r="E2" s="4" t="s">
        <v>220</v>
      </c>
      <c r="F2" s="4" t="s">
        <v>225</v>
      </c>
      <c r="G2" s="6" t="s">
        <v>216</v>
      </c>
      <c r="H2" s="6" t="s">
        <v>222</v>
      </c>
      <c r="I2"/>
      <c r="J2"/>
      <c r="L2" s="6" t="s">
        <v>214</v>
      </c>
      <c r="M2" t="s">
        <v>216</v>
      </c>
      <c r="N2"/>
      <c r="W2" s="6" t="s">
        <v>214</v>
      </c>
      <c r="X2" t="s">
        <v>216</v>
      </c>
      <c r="Y2"/>
      <c r="AF2" s="15" t="s">
        <v>228</v>
      </c>
      <c r="AG2" s="15"/>
      <c r="AJ2" s="15"/>
      <c r="AK2" s="15"/>
    </row>
    <row r="3" spans="1:41" ht="14.4" x14ac:dyDescent="0.3">
      <c r="A3" s="9" t="s">
        <v>63</v>
      </c>
      <c r="B3" s="18">
        <v>17</v>
      </c>
      <c r="D3" s="9" t="s">
        <v>121</v>
      </c>
      <c r="E3" s="10">
        <v>167041</v>
      </c>
      <c r="F3" s="10">
        <v>28</v>
      </c>
      <c r="G3" s="6" t="s">
        <v>214</v>
      </c>
      <c r="H3" t="s">
        <v>22</v>
      </c>
      <c r="I3" t="s">
        <v>37</v>
      </c>
      <c r="J3" t="s">
        <v>215</v>
      </c>
      <c r="L3" s="7" t="s">
        <v>44</v>
      </c>
      <c r="M3" s="17">
        <v>23</v>
      </c>
      <c r="N3"/>
      <c r="W3" s="7" t="s">
        <v>75</v>
      </c>
      <c r="X3" s="17">
        <v>12</v>
      </c>
      <c r="Y3"/>
      <c r="AA3" s="6" t="s">
        <v>214</v>
      </c>
      <c r="AB3" t="s">
        <v>220</v>
      </c>
      <c r="AC3" t="s">
        <v>225</v>
      </c>
      <c r="AF3" s="6" t="s">
        <v>214</v>
      </c>
      <c r="AG3" t="s">
        <v>216</v>
      </c>
      <c r="AH3"/>
      <c r="AJ3"/>
      <c r="AK3"/>
      <c r="AL3"/>
      <c r="AM3" s="6" t="s">
        <v>214</v>
      </c>
      <c r="AN3" t="s">
        <v>229</v>
      </c>
      <c r="AO3"/>
    </row>
    <row r="4" spans="1:41" ht="14.4" x14ac:dyDescent="0.3">
      <c r="A4" s="9" t="s">
        <v>29</v>
      </c>
      <c r="B4" s="18">
        <v>20</v>
      </c>
      <c r="D4" s="9" t="s">
        <v>226</v>
      </c>
      <c r="E4" s="10"/>
      <c r="F4" s="10"/>
      <c r="G4" s="7" t="s">
        <v>23</v>
      </c>
      <c r="H4" s="17">
        <v>6</v>
      </c>
      <c r="I4" s="17">
        <v>3</v>
      </c>
      <c r="J4" s="17">
        <v>9</v>
      </c>
      <c r="L4" s="7" t="s">
        <v>30</v>
      </c>
      <c r="M4" s="17">
        <v>8</v>
      </c>
      <c r="N4"/>
      <c r="W4" s="7" t="s">
        <v>34</v>
      </c>
      <c r="X4" s="17">
        <v>11</v>
      </c>
      <c r="Y4"/>
      <c r="AA4" s="7" t="s">
        <v>121</v>
      </c>
      <c r="AB4" s="17">
        <v>167041</v>
      </c>
      <c r="AC4" s="17">
        <v>28</v>
      </c>
      <c r="AF4" s="7" t="s">
        <v>39</v>
      </c>
      <c r="AG4" s="17">
        <v>14</v>
      </c>
      <c r="AH4"/>
      <c r="AJ4"/>
      <c r="AK4"/>
      <c r="AL4"/>
      <c r="AM4" s="7" t="s">
        <v>26</v>
      </c>
      <c r="AN4" s="17">
        <v>31</v>
      </c>
      <c r="AO4"/>
    </row>
    <row r="5" spans="1:41" ht="14.4" x14ac:dyDescent="0.3">
      <c r="A5" s="9" t="s">
        <v>111</v>
      </c>
      <c r="B5" s="18">
        <v>13</v>
      </c>
      <c r="D5" s="9" t="s">
        <v>40</v>
      </c>
      <c r="E5" s="10">
        <v>613842</v>
      </c>
      <c r="F5" s="10">
        <v>110</v>
      </c>
      <c r="G5" s="7" t="s">
        <v>38</v>
      </c>
      <c r="H5" s="17">
        <v>7</v>
      </c>
      <c r="I5" s="17">
        <v>6</v>
      </c>
      <c r="J5" s="17">
        <v>13</v>
      </c>
      <c r="L5" s="7" t="s">
        <v>54</v>
      </c>
      <c r="M5" s="17">
        <v>19</v>
      </c>
      <c r="N5"/>
      <c r="W5" s="7" t="s">
        <v>96</v>
      </c>
      <c r="X5" s="17">
        <v>7</v>
      </c>
      <c r="Y5"/>
      <c r="AA5" s="7" t="s">
        <v>40</v>
      </c>
      <c r="AB5" s="17">
        <v>613842</v>
      </c>
      <c r="AC5" s="17">
        <v>110</v>
      </c>
      <c r="AF5" s="7" t="s">
        <v>24</v>
      </c>
      <c r="AG5" s="17">
        <v>10</v>
      </c>
      <c r="AH5"/>
      <c r="AJ5"/>
      <c r="AK5"/>
      <c r="AL5"/>
      <c r="AM5" s="7" t="s">
        <v>41</v>
      </c>
      <c r="AN5" s="17">
        <v>33</v>
      </c>
      <c r="AO5"/>
    </row>
    <row r="6" spans="1:41" ht="14.4" x14ac:dyDescent="0.3">
      <c r="A6" s="9" t="s">
        <v>215</v>
      </c>
      <c r="B6" s="18">
        <v>50</v>
      </c>
      <c r="D6" s="9" t="s">
        <v>72</v>
      </c>
      <c r="E6" s="10">
        <v>633594</v>
      </c>
      <c r="F6" s="10">
        <v>104</v>
      </c>
      <c r="G6" s="7" t="s">
        <v>59</v>
      </c>
      <c r="H6" s="17">
        <v>5</v>
      </c>
      <c r="I6" s="17">
        <v>7</v>
      </c>
      <c r="J6" s="17">
        <v>12</v>
      </c>
      <c r="L6" s="7" t="s">
        <v>215</v>
      </c>
      <c r="M6" s="17">
        <v>50</v>
      </c>
      <c r="N6"/>
      <c r="W6" s="7" t="s">
        <v>56</v>
      </c>
      <c r="X6" s="17">
        <v>11</v>
      </c>
      <c r="Y6"/>
      <c r="AA6" s="7" t="s">
        <v>72</v>
      </c>
      <c r="AB6" s="17">
        <v>633594</v>
      </c>
      <c r="AC6" s="17">
        <v>104</v>
      </c>
      <c r="AF6" s="7" t="s">
        <v>102</v>
      </c>
      <c r="AG6" s="17">
        <v>7</v>
      </c>
      <c r="AH6"/>
      <c r="AJ6"/>
      <c r="AK6"/>
      <c r="AL6"/>
      <c r="AM6" s="7" t="s">
        <v>81</v>
      </c>
      <c r="AN6" s="17">
        <v>18</v>
      </c>
      <c r="AO6"/>
    </row>
    <row r="7" spans="1:41" ht="14.4" x14ac:dyDescent="0.3">
      <c r="D7" s="9" t="s">
        <v>50</v>
      </c>
      <c r="E7" s="10">
        <v>959266</v>
      </c>
      <c r="F7" s="10">
        <v>123</v>
      </c>
      <c r="G7" s="7" t="s">
        <v>98</v>
      </c>
      <c r="H7" s="17">
        <v>4</v>
      </c>
      <c r="I7" s="17">
        <v>3</v>
      </c>
      <c r="J7" s="17">
        <v>7</v>
      </c>
      <c r="L7"/>
      <c r="M7"/>
      <c r="N7"/>
      <c r="W7" s="7" t="s">
        <v>66</v>
      </c>
      <c r="X7" s="17">
        <v>9</v>
      </c>
      <c r="Y7"/>
      <c r="AA7" s="7" t="s">
        <v>227</v>
      </c>
      <c r="AB7" s="17"/>
      <c r="AC7" s="17"/>
      <c r="AF7" s="7" t="s">
        <v>80</v>
      </c>
      <c r="AG7" s="17">
        <v>10</v>
      </c>
      <c r="AH7"/>
      <c r="AJ7"/>
      <c r="AK7"/>
      <c r="AL7"/>
      <c r="AM7" s="7" t="s">
        <v>51</v>
      </c>
      <c r="AN7" s="17">
        <v>26</v>
      </c>
      <c r="AO7"/>
    </row>
    <row r="8" spans="1:41" ht="14.4" x14ac:dyDescent="0.3">
      <c r="D8" s="9" t="s">
        <v>25</v>
      </c>
      <c r="E8" s="10">
        <v>731170</v>
      </c>
      <c r="F8" s="10">
        <v>122</v>
      </c>
      <c r="G8" s="7" t="s">
        <v>68</v>
      </c>
      <c r="H8" s="17">
        <v>4</v>
      </c>
      <c r="I8" s="17">
        <v>5</v>
      </c>
      <c r="J8" s="17">
        <v>9</v>
      </c>
      <c r="L8" s="7" t="s">
        <v>44</v>
      </c>
      <c r="M8">
        <f>IFERROR(GETPIVOTDATA("Full Name",$L$2,"Work Location","Branch Office"),"0")</f>
        <v>23</v>
      </c>
      <c r="W8" s="7" t="s">
        <v>215</v>
      </c>
      <c r="X8" s="17">
        <v>50</v>
      </c>
      <c r="Y8"/>
      <c r="AA8" s="7" t="s">
        <v>50</v>
      </c>
      <c r="AB8" s="17">
        <v>959266</v>
      </c>
      <c r="AC8" s="17">
        <v>123</v>
      </c>
      <c r="AF8" s="7" t="s">
        <v>49</v>
      </c>
      <c r="AG8" s="17">
        <v>9</v>
      </c>
      <c r="AH8"/>
      <c r="AJ8"/>
      <c r="AK8"/>
      <c r="AL8"/>
      <c r="AM8" s="7" t="s">
        <v>60</v>
      </c>
      <c r="AN8" s="17">
        <v>23</v>
      </c>
      <c r="AO8"/>
    </row>
    <row r="9" spans="1:41" ht="14.4" x14ac:dyDescent="0.3">
      <c r="A9" s="9" t="s">
        <v>63</v>
      </c>
      <c r="B9" s="4">
        <f>IFERROR(GETPIVOTDATA("Full Name",$A$2,"Employment Status","Contract"),"0")</f>
        <v>17</v>
      </c>
      <c r="D9" s="9" t="s">
        <v>215</v>
      </c>
      <c r="E9" s="18">
        <v>3104913</v>
      </c>
      <c r="F9" s="18">
        <v>487</v>
      </c>
      <c r="G9" s="7" t="s">
        <v>215</v>
      </c>
      <c r="H9" s="17">
        <v>26</v>
      </c>
      <c r="I9" s="17">
        <v>24</v>
      </c>
      <c r="J9" s="17">
        <v>50</v>
      </c>
      <c r="L9" s="7" t="s">
        <v>30</v>
      </c>
      <c r="M9">
        <f>IFERROR(GETPIVOTDATA("Full Name",$L$2,"Work Location","Head Office"),"0")</f>
        <v>8</v>
      </c>
      <c r="W9"/>
      <c r="X9"/>
      <c r="Y9"/>
      <c r="AA9" s="7" t="s">
        <v>25</v>
      </c>
      <c r="AB9" s="17">
        <v>731170</v>
      </c>
      <c r="AC9" s="17">
        <v>122</v>
      </c>
      <c r="AF9" s="7" t="s">
        <v>215</v>
      </c>
      <c r="AG9" s="17">
        <v>50</v>
      </c>
      <c r="AH9"/>
      <c r="AJ9"/>
      <c r="AK9"/>
      <c r="AL9"/>
      <c r="AM9" s="7" t="s">
        <v>215</v>
      </c>
      <c r="AN9" s="17">
        <v>131</v>
      </c>
      <c r="AO9"/>
    </row>
    <row r="10" spans="1:41" ht="14.4" x14ac:dyDescent="0.3">
      <c r="A10" s="9" t="s">
        <v>29</v>
      </c>
      <c r="B10" s="4">
        <f>IFERROR(GETPIVOTDATA("Full Name",$A$2,"Employment Status","Full-Time"),"0")</f>
        <v>20</v>
      </c>
      <c r="D10" s="9" t="s">
        <v>121</v>
      </c>
      <c r="E10" s="11">
        <f>IFERROR(GETPIVOTDATA("Salary",$D$2,"Job Title","Analyst"),"0")</f>
        <v>167041</v>
      </c>
      <c r="F10" s="11">
        <f>IFERROR(GETPIVOTDATA("Sum of Leave Taken",$D$2,"Job Title","Analyst"),"0")</f>
        <v>28</v>
      </c>
      <c r="G10"/>
      <c r="H10"/>
      <c r="I10"/>
      <c r="L10" s="7" t="s">
        <v>54</v>
      </c>
      <c r="M10">
        <f>IFERROR(GETPIVOTDATA("Full Name",$L$2,"Work Location","Remote"),"0")</f>
        <v>19</v>
      </c>
      <c r="W10"/>
      <c r="X10"/>
      <c r="Y10"/>
      <c r="AA10" s="7" t="s">
        <v>215</v>
      </c>
      <c r="AB10" s="17">
        <v>3104913</v>
      </c>
      <c r="AC10" s="17">
        <v>487</v>
      </c>
      <c r="AF10"/>
      <c r="AG10"/>
      <c r="AH10"/>
      <c r="AJ10"/>
      <c r="AK10"/>
      <c r="AL10"/>
      <c r="AM10"/>
      <c r="AN10"/>
      <c r="AO10"/>
    </row>
    <row r="11" spans="1:41" ht="14.4" x14ac:dyDescent="0.3">
      <c r="A11" s="9" t="s">
        <v>111</v>
      </c>
      <c r="B11" s="4">
        <f>IFERROR(GETPIVOTDATA("Full Name",$A$2,"Employment Status","Part-Time"),"0")</f>
        <v>13</v>
      </c>
      <c r="D11" s="9" t="s">
        <v>40</v>
      </c>
      <c r="E11" s="11">
        <f>IFERROR(GETPIVOTDATA("Salary",$D$2,"Job Title","Designer"),"0")</f>
        <v>613842</v>
      </c>
      <c r="F11" s="11">
        <f>IFERROR(GETPIVOTDATA("Sum of Leave Taken",$D$2,"Job Title","Designer"),"0")</f>
        <v>110</v>
      </c>
      <c r="G11"/>
      <c r="H11"/>
      <c r="I11"/>
      <c r="L11" s="7" t="s">
        <v>218</v>
      </c>
      <c r="M11">
        <f>SUM(M8:M10)</f>
        <v>50</v>
      </c>
      <c r="N11"/>
      <c r="W11"/>
      <c r="X11"/>
      <c r="Y11"/>
      <c r="AA11"/>
      <c r="AB11"/>
      <c r="AC11"/>
      <c r="AF11"/>
      <c r="AG11"/>
      <c r="AH11"/>
      <c r="AJ11"/>
      <c r="AK11"/>
      <c r="AL11"/>
      <c r="AM11"/>
      <c r="AN11"/>
      <c r="AO11"/>
    </row>
    <row r="12" spans="1:41" ht="14.4" x14ac:dyDescent="0.3">
      <c r="A12" s="9" t="s">
        <v>219</v>
      </c>
      <c r="B12" s="4">
        <f>SUM(B9:B11)</f>
        <v>50</v>
      </c>
      <c r="D12" s="9" t="s">
        <v>72</v>
      </c>
      <c r="E12" s="11">
        <f>IFERROR(GETPIVOTDATA("Salary",$D$2,"Job Title","Developer"),"0")</f>
        <v>633594</v>
      </c>
      <c r="F12" s="11">
        <f>IFERROR(GETPIVOTDATA("Sum of Leave Taken",$D$2,"Job Title","Developer"),"0")</f>
        <v>104</v>
      </c>
      <c r="G12" s="7" t="s">
        <v>23</v>
      </c>
      <c r="H12">
        <f>IFERROR(GETPIVOTDATA("Full Name",$G$2,"Age range","18-25"),"0")</f>
        <v>9</v>
      </c>
      <c r="I12"/>
      <c r="L12"/>
      <c r="M12"/>
      <c r="N12"/>
      <c r="W12" s="7" t="s">
        <v>75</v>
      </c>
      <c r="X12">
        <f>IFERROR(GETPIVOTDATA("Full Name",$W$2,"Skills","Communication"),"0")</f>
        <v>12</v>
      </c>
      <c r="Y12"/>
      <c r="AA12" s="7" t="s">
        <v>121</v>
      </c>
      <c r="AB12"/>
      <c r="AC12"/>
      <c r="AF12" s="7" t="s">
        <v>39</v>
      </c>
      <c r="AG12">
        <f>IFERROR(GETPIVOTDATA("Full Name",$AF$3,"Region","Central"),"0")</f>
        <v>14</v>
      </c>
      <c r="AH12"/>
      <c r="AJ12"/>
      <c r="AK12"/>
      <c r="AL12"/>
      <c r="AM12" s="7" t="s">
        <v>26</v>
      </c>
      <c r="AN12">
        <f>IFERROR(GETPIVOTDATA("Performance Rating",$AM$3,"Department","Finance"),"0")</f>
        <v>31</v>
      </c>
      <c r="AO12"/>
    </row>
    <row r="13" spans="1:41" ht="14.4" x14ac:dyDescent="0.3">
      <c r="D13" s="9" t="s">
        <v>50</v>
      </c>
      <c r="E13" s="11">
        <f>IFERROR(GETPIVOTDATA("Salary",$D$2,"Job Title","HR Specialist"),"0")</f>
        <v>959266</v>
      </c>
      <c r="F13" s="11">
        <f>IFERROR(GETPIVOTDATA("Sum of Leave Taken",$D$2,"Job Title","HR Specialist"),"0")</f>
        <v>123</v>
      </c>
      <c r="G13" s="7" t="s">
        <v>38</v>
      </c>
      <c r="H13">
        <f>IFERROR(GETPIVOTDATA("Full Name",$G$2,"Age range","26-35"),"0")</f>
        <v>13</v>
      </c>
      <c r="I13"/>
      <c r="L13"/>
      <c r="M13"/>
      <c r="N13"/>
      <c r="W13" s="7" t="s">
        <v>34</v>
      </c>
      <c r="X13">
        <f>IFERROR(GETPIVOTDATA("Full Name",$W$2,"Skills","Design"),"0")</f>
        <v>11</v>
      </c>
      <c r="Y13"/>
      <c r="AA13" s="7" t="s">
        <v>40</v>
      </c>
      <c r="AB13"/>
      <c r="AC13"/>
      <c r="AF13" s="7" t="s">
        <v>24</v>
      </c>
      <c r="AG13">
        <f>IFERROR(GETPIVOTDATA("Full Name",$AF$3,"Region","East"),"0")</f>
        <v>10</v>
      </c>
      <c r="AH13"/>
      <c r="AJ13"/>
      <c r="AK13"/>
      <c r="AL13"/>
      <c r="AM13" s="7" t="s">
        <v>41</v>
      </c>
      <c r="AN13">
        <f>IFERROR(GETPIVOTDATA("Performance Rating",$AM$3,"Department","HR"),"0")</f>
        <v>33</v>
      </c>
      <c r="AO13"/>
    </row>
    <row r="14" spans="1:41" ht="14.4" x14ac:dyDescent="0.3">
      <c r="D14" s="9" t="s">
        <v>25</v>
      </c>
      <c r="E14" s="11">
        <f>IFERROR(GETPIVOTDATA("Salary",$D$2,"Job Title","Manager"),"0")</f>
        <v>731170</v>
      </c>
      <c r="F14" s="11">
        <f>IFERROR(GETPIVOTDATA("Sum of Leave Taken",$D$2,"Job Title","Manager"),"0")</f>
        <v>122</v>
      </c>
      <c r="G14" s="7" t="s">
        <v>59</v>
      </c>
      <c r="H14">
        <f>IFERROR(GETPIVOTDATA("Full Name",$G$2,"Age range","36-45"),"0")</f>
        <v>12</v>
      </c>
      <c r="I14"/>
      <c r="L14" s="13">
        <f>SUM(M8)/SUM($M$8:$M$10)</f>
        <v>0.46</v>
      </c>
      <c r="M14" s="14">
        <f>1-L14</f>
        <v>0.54</v>
      </c>
      <c r="N14"/>
      <c r="W14" s="7" t="s">
        <v>96</v>
      </c>
      <c r="X14">
        <f>IFERROR(GETPIVOTDATA("Full Name",$W$2,"Skills","Excel"),"0")</f>
        <v>7</v>
      </c>
      <c r="Y14"/>
      <c r="AA14" s="7" t="s">
        <v>72</v>
      </c>
      <c r="AB14"/>
      <c r="AC14"/>
      <c r="AF14" s="7" t="s">
        <v>102</v>
      </c>
      <c r="AG14">
        <f>IFERROR(GETPIVOTDATA("Full Name",$AF$3,"Region","North"),"0")</f>
        <v>7</v>
      </c>
      <c r="AH14"/>
      <c r="AJ14"/>
      <c r="AK14"/>
      <c r="AL14"/>
      <c r="AM14" s="7" t="s">
        <v>81</v>
      </c>
      <c r="AN14">
        <f>IFERROR(GETPIVOTDATA("Performance Rating",$AM$3,"Department","IT"),"0")</f>
        <v>18</v>
      </c>
      <c r="AO14"/>
    </row>
    <row r="15" spans="1:41" ht="14.4" x14ac:dyDescent="0.3">
      <c r="D15" s="9" t="s">
        <v>218</v>
      </c>
      <c r="E15" s="11">
        <f>SUM(E10:E14)</f>
        <v>3104913</v>
      </c>
      <c r="F15" s="10">
        <f>SUM(F10:F14)</f>
        <v>487</v>
      </c>
      <c r="G15" s="7" t="s">
        <v>98</v>
      </c>
      <c r="H15">
        <f>IFERROR(GETPIVOTDATA("Full Name",$G$2,"Age range","46-55"),"0")</f>
        <v>7</v>
      </c>
      <c r="I15"/>
      <c r="L15" s="13">
        <f>SUM(M9)/SUM($M$8:$M$10)</f>
        <v>0.16</v>
      </c>
      <c r="M15" s="14">
        <f>1-L15</f>
        <v>0.84</v>
      </c>
      <c r="N15"/>
      <c r="W15" s="7" t="s">
        <v>56</v>
      </c>
      <c r="X15">
        <f>IFERROR(GETPIVOTDATA("Full Name",$W$2,"Skills","Management"),"0")</f>
        <v>11</v>
      </c>
      <c r="Y15"/>
      <c r="AA15" s="7" t="s">
        <v>50</v>
      </c>
      <c r="AB15"/>
      <c r="AC15"/>
      <c r="AF15" s="7" t="s">
        <v>80</v>
      </c>
      <c r="AG15">
        <f>IFERROR(GETPIVOTDATA("Full Name",$AF$3,"Region","South"),"0")</f>
        <v>10</v>
      </c>
      <c r="AH15"/>
      <c r="AJ15"/>
      <c r="AK15"/>
      <c r="AL15"/>
      <c r="AM15" s="7" t="s">
        <v>51</v>
      </c>
      <c r="AN15">
        <f>IFERROR(GETPIVOTDATA("Performance Rating",$AM$3,"Department","Marketing"),"0")</f>
        <v>26</v>
      </c>
      <c r="AO15"/>
    </row>
    <row r="16" spans="1:41" ht="14.4" x14ac:dyDescent="0.3">
      <c r="G16" s="7" t="s">
        <v>68</v>
      </c>
      <c r="H16">
        <f>IFERROR(GETPIVOTDATA("Full Name",$G$2,"Age range","56 &lt;"),"0")</f>
        <v>9</v>
      </c>
      <c r="I16"/>
      <c r="L16" s="13">
        <f>SUM(M10)/SUM($M$8:$M$10)</f>
        <v>0.38</v>
      </c>
      <c r="M16" s="14">
        <f>1-L16</f>
        <v>0.62</v>
      </c>
      <c r="N16"/>
      <c r="W16" s="7" t="s">
        <v>66</v>
      </c>
      <c r="X16">
        <f>IFERROR(GETPIVOTDATA("Full Name",$W$2,"Skills","Python"),"0")</f>
        <v>9</v>
      </c>
      <c r="Y16"/>
      <c r="AA16" s="7" t="s">
        <v>25</v>
      </c>
      <c r="AB16"/>
      <c r="AC16"/>
      <c r="AF16" s="7" t="s">
        <v>49</v>
      </c>
      <c r="AG16">
        <f>IFERROR(GETPIVOTDATA("Full Name",$AF$3,"Region","West"),"0")</f>
        <v>9</v>
      </c>
      <c r="AH16"/>
      <c r="AJ16"/>
      <c r="AK16"/>
      <c r="AL16"/>
      <c r="AM16" s="7" t="s">
        <v>60</v>
      </c>
      <c r="AN16">
        <f>IFERROR(GETPIVOTDATA("Performance Rating",$AM$3,"Department","Operations"),"0")</f>
        <v>23</v>
      </c>
      <c r="AO16"/>
    </row>
    <row r="17" spans="7:41" ht="14.4" x14ac:dyDescent="0.3">
      <c r="G17" s="7" t="s">
        <v>218</v>
      </c>
      <c r="H17">
        <f>SUM(H12:H16)</f>
        <v>50</v>
      </c>
      <c r="I17"/>
      <c r="L17"/>
      <c r="M17"/>
      <c r="N17"/>
      <c r="W17" s="7" t="s">
        <v>218</v>
      </c>
      <c r="X17">
        <f>SUM(X12:X16)</f>
        <v>50</v>
      </c>
      <c r="Y17"/>
      <c r="AB17"/>
      <c r="AC17"/>
      <c r="AF17" s="7" t="s">
        <v>218</v>
      </c>
      <c r="AG17">
        <f>SUM(AG12:AG16)</f>
        <v>50</v>
      </c>
      <c r="AH17"/>
      <c r="AJ17"/>
      <c r="AK17"/>
      <c r="AL17"/>
      <c r="AM17" s="7" t="s">
        <v>218</v>
      </c>
      <c r="AN17">
        <f>SUM(AN12:AN16)</f>
        <v>131</v>
      </c>
      <c r="AO17"/>
    </row>
    <row r="18" spans="7:41" ht="14.4" x14ac:dyDescent="0.3">
      <c r="G18"/>
      <c r="H18"/>
      <c r="I18"/>
      <c r="L18"/>
      <c r="M18"/>
      <c r="N18"/>
      <c r="W18"/>
      <c r="X18"/>
      <c r="Y18"/>
      <c r="AA18"/>
      <c r="AB18"/>
      <c r="AC18"/>
      <c r="AF18"/>
      <c r="AG18"/>
      <c r="AH18"/>
      <c r="AJ18"/>
      <c r="AK18"/>
      <c r="AL18"/>
      <c r="AM18"/>
      <c r="AN18"/>
      <c r="AO18"/>
    </row>
    <row r="19" spans="7:41" ht="14.4" x14ac:dyDescent="0.3">
      <c r="G19" s="7" t="s">
        <v>37</v>
      </c>
      <c r="H19">
        <f>IFERROR(GETPIVOTDATA("Full Name",$G$2,"Gender","Male"),"0")</f>
        <v>24</v>
      </c>
      <c r="I19" s="12">
        <f>SUM(H19)/SUM($H$19:$H$20)</f>
        <v>0.48</v>
      </c>
      <c r="J19" s="14">
        <f>1-I19</f>
        <v>0.52</v>
      </c>
      <c r="L19"/>
      <c r="M19"/>
      <c r="N19"/>
      <c r="W19"/>
      <c r="X19"/>
      <c r="Y19"/>
      <c r="AA19"/>
      <c r="AB19"/>
      <c r="AC19"/>
      <c r="AF19"/>
      <c r="AG19"/>
      <c r="AH19"/>
      <c r="AJ19"/>
      <c r="AK19"/>
      <c r="AL19"/>
      <c r="AM19"/>
      <c r="AN19"/>
      <c r="AO19"/>
    </row>
    <row r="20" spans="7:41" ht="14.4" x14ac:dyDescent="0.3">
      <c r="G20" s="4" t="s">
        <v>22</v>
      </c>
      <c r="H20">
        <f>IFERROR(GETPIVOTDATA("Full Name",$G$2,"Gender","Female"),"0")</f>
        <v>26</v>
      </c>
      <c r="I20" s="13">
        <f>SUM(H20)/SUM($H$19:$H$20)</f>
        <v>0.52</v>
      </c>
      <c r="J20" s="14">
        <f>1-I20</f>
        <v>0.48</v>
      </c>
      <c r="AA20"/>
      <c r="AB20"/>
      <c r="AC20"/>
      <c r="AF20"/>
      <c r="AG20"/>
      <c r="AH20"/>
      <c r="AJ20"/>
      <c r="AK20"/>
      <c r="AL20"/>
      <c r="AM20"/>
      <c r="AN20"/>
      <c r="AO20"/>
    </row>
    <row r="21" spans="7:41" x14ac:dyDescent="0.25">
      <c r="G21" s="4" t="s">
        <v>218</v>
      </c>
      <c r="H21" s="4">
        <f>SUM(H19:H20)</f>
        <v>50</v>
      </c>
    </row>
  </sheetData>
  <mergeCells count="8">
    <mergeCell ref="AJ2:AK2"/>
    <mergeCell ref="W1:X1"/>
    <mergeCell ref="AF2:AG2"/>
    <mergeCell ref="A1:B1"/>
    <mergeCell ref="D1:E1"/>
    <mergeCell ref="G1:H1"/>
    <mergeCell ref="I1:J1"/>
    <mergeCell ref="L1: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17C4-007A-4976-B7CB-DE08CA70DE45}">
  <dimension ref="A1"/>
  <sheetViews>
    <sheetView showGridLines="0" tabSelected="1" zoomScale="80" zoomScaleNormal="80" workbookViewId="0">
      <selection activeCell="U12" sqref="U12"/>
    </sheetView>
  </sheetViews>
  <sheetFormatPr defaultRowHeight="13.8" x14ac:dyDescent="0.25"/>
  <cols>
    <col min="1" max="16384" width="8.886718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AAKASH KUMAR</cp:lastModifiedBy>
  <dcterms:created xsi:type="dcterms:W3CDTF">2024-12-11T17:14:33Z</dcterms:created>
  <dcterms:modified xsi:type="dcterms:W3CDTF">2025-11-20T17:15:16Z</dcterms:modified>
</cp:coreProperties>
</file>